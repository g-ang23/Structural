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xml" ContentType="application/vnd.openxmlformats-officedocument.drawing+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ntuagr-my.sharepoint.com/personal/g_angelousis_ntua_gr/Documents/NTUA/PhD/Structural/HVAB/"/>
    </mc:Choice>
  </mc:AlternateContent>
  <xr:revisionPtr revIDLastSave="3207" documentId="13_ncr:1_{C83A9EAF-4E7C-4E4B-886A-AB2D613954EB}" xr6:coauthVersionLast="47" xr6:coauthVersionMax="47" xr10:uidLastSave="{B64B6BDE-D98B-4228-9546-78D9DF0721EE}"/>
  <bookViews>
    <workbookView xWindow="0" yWindow="0" windowWidth="11520" windowHeight="12360" tabRatio="705" activeTab="2" xr2:uid="{00000000-000D-0000-FFFF-FFFF00000000}"/>
  </bookViews>
  <sheets>
    <sheet name="READ_ME" sheetId="27" r:id="rId1"/>
    <sheet name="NASA" sheetId="1" r:id="rId2"/>
    <sheet name="NASA_2_CORAL" sheetId="21" r:id="rId3"/>
    <sheet name="beam_frmt_noFPM" sheetId="16" r:id="rId4"/>
    <sheet name="EXI_beam_diff" sheetId="24" r:id="rId5"/>
    <sheet name="output" sheetId="25" r:id="rId6"/>
    <sheet name="EXI_beam" sheetId="2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6" i="21" l="1" a="1"/>
  <c r="AT6" i="21" s="1"/>
  <c r="AS6" i="21" a="1"/>
  <c r="AS6" i="21" s="1"/>
  <c r="AS7" i="21" a="1"/>
  <c r="AS7" i="21" s="1"/>
  <c r="AT7" i="21" a="1"/>
  <c r="AT7" i="21" s="1"/>
  <c r="AS8" i="21" a="1"/>
  <c r="AS8" i="21" s="1"/>
  <c r="AT8" i="21" a="1"/>
  <c r="AT8" i="21" s="1"/>
  <c r="AS9" i="21" a="1"/>
  <c r="AS9" i="21" s="1"/>
  <c r="AT9" i="21" a="1"/>
  <c r="AT9" i="21" s="1"/>
  <c r="AS10" i="21" a="1"/>
  <c r="AS10" i="21" s="1"/>
  <c r="AT10" i="21" a="1"/>
  <c r="AT10" i="21" s="1"/>
  <c r="AS11" i="21" a="1"/>
  <c r="AS11" i="21" s="1"/>
  <c r="AT11" i="21" a="1"/>
  <c r="AT11" i="21" s="1"/>
  <c r="AS12" i="21" a="1"/>
  <c r="AS12" i="21" s="1"/>
  <c r="AT12" i="21" a="1"/>
  <c r="AT12" i="21" s="1"/>
  <c r="AS13" i="21" a="1"/>
  <c r="AS13" i="21" s="1"/>
  <c r="AT13" i="21" a="1"/>
  <c r="AT13" i="21" s="1"/>
  <c r="AS14" i="21" a="1"/>
  <c r="AS14" i="21" s="1"/>
  <c r="AT14" i="21" a="1"/>
  <c r="AT14" i="21" s="1"/>
  <c r="AS15" i="21" a="1"/>
  <c r="AS15" i="21" s="1"/>
  <c r="AT15" i="21" a="1"/>
  <c r="AT15" i="21" s="1"/>
  <c r="AS16" i="21" a="1"/>
  <c r="AS16" i="21" s="1"/>
  <c r="AT16" i="21" a="1"/>
  <c r="AT16" i="21" s="1"/>
  <c r="AS17" i="21" a="1"/>
  <c r="AS17" i="21" s="1"/>
  <c r="AT17" i="21" a="1"/>
  <c r="AT17" i="21" s="1"/>
  <c r="AS18" i="21" a="1"/>
  <c r="AS18" i="21" s="1"/>
  <c r="AT18" i="21" a="1"/>
  <c r="AT18" i="21" s="1"/>
  <c r="AS19" i="21" a="1"/>
  <c r="AS19" i="21" s="1"/>
  <c r="AT19" i="21" a="1"/>
  <c r="AT19" i="21" s="1"/>
  <c r="AS20" i="21" a="1"/>
  <c r="AS20" i="21" s="1"/>
  <c r="AT20" i="21" a="1"/>
  <c r="AT20" i="21" s="1"/>
  <c r="AS21" i="21" a="1"/>
  <c r="AS21" i="21" s="1"/>
  <c r="AT21" i="21" a="1"/>
  <c r="AT21" i="21" s="1"/>
  <c r="AS22" i="21" a="1"/>
  <c r="AS22" i="21" s="1"/>
  <c r="AT22" i="21" a="1"/>
  <c r="AT22" i="21" s="1"/>
  <c r="AS23" i="21" a="1"/>
  <c r="AS23" i="21" s="1"/>
  <c r="AT23" i="21" a="1"/>
  <c r="AT23" i="21" s="1"/>
  <c r="AS24" i="21" a="1"/>
  <c r="AS24" i="21" s="1"/>
  <c r="AT24" i="21" a="1"/>
  <c r="AT24" i="21" s="1"/>
  <c r="AS25" i="21" a="1"/>
  <c r="AS25" i="21" s="1"/>
  <c r="AT25" i="21" a="1"/>
  <c r="AT25" i="21" s="1"/>
  <c r="AS26" i="21" a="1"/>
  <c r="AS26" i="21" s="1"/>
  <c r="AT26" i="21" a="1"/>
  <c r="AT26" i="21" s="1"/>
  <c r="AS27" i="21" a="1"/>
  <c r="AS27" i="21" s="1"/>
  <c r="AT27" i="21" a="1"/>
  <c r="AT27" i="21" s="1"/>
  <c r="AS28" i="21" a="1"/>
  <c r="AS28" i="21" s="1"/>
  <c r="AT28" i="21" a="1"/>
  <c r="AT28" i="21" s="1"/>
  <c r="AS29" i="21" a="1"/>
  <c r="AS29" i="21" s="1"/>
  <c r="AT29" i="21" a="1"/>
  <c r="AT29" i="21" s="1"/>
  <c r="CP27" i="21"/>
  <c r="U8" i="1"/>
  <c r="U9" i="1"/>
  <c r="U10" i="1"/>
  <c r="U11" i="1"/>
  <c r="U12" i="1"/>
  <c r="U13" i="1"/>
  <c r="U15" i="1"/>
  <c r="U7" i="1"/>
  <c r="AK37" i="1"/>
  <c r="AK36" i="1"/>
  <c r="AK38" i="1"/>
  <c r="AK39" i="1"/>
  <c r="AK40" i="1"/>
  <c r="AK41" i="1"/>
  <c r="AK42" i="1"/>
  <c r="AK43" i="1"/>
  <c r="AK44" i="1"/>
  <c r="AK45" i="1"/>
  <c r="AK46" i="1"/>
  <c r="AK47" i="1"/>
  <c r="AK48" i="1"/>
  <c r="AK49" i="1"/>
  <c r="AK50" i="1"/>
  <c r="AK51" i="1"/>
  <c r="AK52" i="1"/>
  <c r="AK53" i="1"/>
  <c r="AK54" i="1"/>
  <c r="AK55" i="1"/>
  <c r="AK56" i="1"/>
  <c r="AK57" i="1"/>
  <c r="AL36" i="1"/>
  <c r="A5" i="25"/>
  <c r="A7" i="25"/>
  <c r="A9" i="25"/>
  <c r="A11" i="25"/>
  <c r="A13" i="25"/>
  <c r="A15" i="25"/>
  <c r="A17" i="25"/>
  <c r="A19" i="25"/>
  <c r="A21" i="25"/>
  <c r="A23" i="25"/>
  <c r="A25" i="25"/>
  <c r="A27" i="25"/>
  <c r="A29" i="25"/>
  <c r="A31" i="25"/>
  <c r="A33" i="25"/>
  <c r="A35" i="25"/>
  <c r="A37" i="25"/>
  <c r="A38" i="25"/>
  <c r="A39" i="25"/>
  <c r="A40" i="25"/>
  <c r="A41" i="25"/>
  <c r="A42" i="25"/>
  <c r="A43" i="25"/>
  <c r="A44" i="25"/>
  <c r="A45" i="25"/>
  <c r="BF3" i="21"/>
  <c r="A5" i="24"/>
  <c r="A7" i="24"/>
  <c r="A9" i="24"/>
  <c r="A11" i="24"/>
  <c r="A13" i="24"/>
  <c r="A15" i="24"/>
  <c r="A17" i="24"/>
  <c r="A19" i="24"/>
  <c r="A21" i="24"/>
  <c r="A23" i="24"/>
  <c r="A25" i="24"/>
  <c r="A27" i="24"/>
  <c r="A29" i="24"/>
  <c r="A31" i="24"/>
  <c r="A33" i="24"/>
  <c r="A35" i="24"/>
  <c r="A37" i="24"/>
  <c r="A38" i="24"/>
  <c r="A39" i="24"/>
  <c r="A40" i="24"/>
  <c r="A41" i="24"/>
  <c r="A42" i="24"/>
  <c r="A43" i="24"/>
  <c r="A44" i="24"/>
  <c r="A45" i="24"/>
  <c r="B4" i="16"/>
  <c r="C4" i="16"/>
  <c r="D4" i="16"/>
  <c r="E4" i="16"/>
  <c r="F4" i="16"/>
  <c r="G4" i="16"/>
  <c r="H4" i="16"/>
  <c r="I4" i="16"/>
  <c r="J4" i="16"/>
  <c r="K4" i="16"/>
  <c r="L4" i="16"/>
  <c r="M4" i="16"/>
  <c r="N4" i="16"/>
  <c r="O4" i="16"/>
  <c r="P4" i="16"/>
  <c r="Q4" i="16"/>
  <c r="R4" i="16"/>
  <c r="S4" i="16"/>
  <c r="T4" i="16"/>
  <c r="U4" i="16"/>
  <c r="V4" i="16"/>
  <c r="B5" i="16"/>
  <c r="B6" i="16"/>
  <c r="B7" i="16"/>
  <c r="B8" i="16"/>
  <c r="B9" i="16"/>
  <c r="B10" i="16"/>
  <c r="B11" i="16"/>
  <c r="B12" i="16"/>
  <c r="B13" i="16"/>
  <c r="B14" i="16"/>
  <c r="B15" i="16"/>
  <c r="B16" i="16"/>
  <c r="B17" i="16"/>
  <c r="B18" i="16"/>
  <c r="B19" i="16"/>
  <c r="B20" i="16"/>
  <c r="B21" i="16"/>
  <c r="B72" i="16" s="1"/>
  <c r="B71" i="16" s="1"/>
  <c r="B37" i="24" s="1"/>
  <c r="B37" i="25" s="1"/>
  <c r="B22" i="16"/>
  <c r="B74" i="16" s="1"/>
  <c r="B23" i="16"/>
  <c r="B76" i="16" s="1"/>
  <c r="B75" i="16" s="1"/>
  <c r="B41" i="24" s="1"/>
  <c r="B41" i="25" s="1"/>
  <c r="B24" i="16"/>
  <c r="B78" i="16" s="1"/>
  <c r="B44" i="24" s="1"/>
  <c r="B44" i="25" s="1"/>
  <c r="B25" i="16"/>
  <c r="B79" i="16" s="1"/>
  <c r="B45" i="24" s="1"/>
  <c r="B45" i="25" s="1"/>
  <c r="A5" i="16"/>
  <c r="A6" i="16"/>
  <c r="A7" i="16"/>
  <c r="A8" i="16"/>
  <c r="A9" i="16"/>
  <c r="A10" i="16"/>
  <c r="A11" i="16"/>
  <c r="A12" i="16"/>
  <c r="A13" i="16"/>
  <c r="A14" i="16"/>
  <c r="A15" i="16"/>
  <c r="A16" i="16"/>
  <c r="A17" i="16"/>
  <c r="A18" i="16"/>
  <c r="A19" i="16"/>
  <c r="A20" i="16"/>
  <c r="A21" i="16"/>
  <c r="A22" i="16"/>
  <c r="A23" i="16"/>
  <c r="A24" i="16"/>
  <c r="A25" i="16"/>
  <c r="A4" i="16"/>
  <c r="B3" i="16"/>
  <c r="B37" i="16" s="1"/>
  <c r="B3" i="24" s="1"/>
  <c r="B3" i="25" s="1"/>
  <c r="C3" i="16"/>
  <c r="C37" i="16" s="1"/>
  <c r="C3" i="24" s="1"/>
  <c r="C3" i="25" s="1"/>
  <c r="D3" i="16"/>
  <c r="D37" i="16" s="1"/>
  <c r="D3" i="24" s="1"/>
  <c r="D3" i="25" s="1"/>
  <c r="E3" i="16"/>
  <c r="E37" i="16" s="1"/>
  <c r="E3" i="24" s="1"/>
  <c r="E3" i="25" s="1"/>
  <c r="F3" i="16"/>
  <c r="F37" i="16" s="1"/>
  <c r="F3" i="24" s="1"/>
  <c r="F3" i="25" s="1"/>
  <c r="G3" i="16"/>
  <c r="G37" i="16" s="1"/>
  <c r="G3" i="24" s="1"/>
  <c r="G3" i="25" s="1"/>
  <c r="H3" i="16"/>
  <c r="H37" i="16" s="1"/>
  <c r="H3" i="24" s="1"/>
  <c r="H3" i="25" s="1"/>
  <c r="I3" i="16"/>
  <c r="I37" i="16" s="1"/>
  <c r="I3" i="24" s="1"/>
  <c r="I3" i="25" s="1"/>
  <c r="J3" i="16"/>
  <c r="J37" i="16" s="1"/>
  <c r="J3" i="24" s="1"/>
  <c r="J3" i="25" s="1"/>
  <c r="K3" i="16"/>
  <c r="K37" i="16" s="1"/>
  <c r="K3" i="24" s="1"/>
  <c r="K3" i="25" s="1"/>
  <c r="L3" i="16"/>
  <c r="L37" i="16" s="1"/>
  <c r="L3" i="24" s="1"/>
  <c r="L3" i="25" s="1"/>
  <c r="M3" i="16"/>
  <c r="M37" i="16" s="1"/>
  <c r="M3" i="24" s="1"/>
  <c r="M3" i="25" s="1"/>
  <c r="N3" i="16"/>
  <c r="N37" i="16" s="1"/>
  <c r="N3" i="24" s="1"/>
  <c r="N3" i="25" s="1"/>
  <c r="O3" i="16"/>
  <c r="O37" i="16" s="1"/>
  <c r="O3" i="24" s="1"/>
  <c r="O3" i="25" s="1"/>
  <c r="P3" i="16"/>
  <c r="P37" i="16" s="1"/>
  <c r="P3" i="24" s="1"/>
  <c r="P3" i="25" s="1"/>
  <c r="Q3" i="16"/>
  <c r="Q37" i="16" s="1"/>
  <c r="Q3" i="24" s="1"/>
  <c r="Q3" i="25" s="1"/>
  <c r="R3" i="16"/>
  <c r="R37" i="16" s="1"/>
  <c r="R3" i="24" s="1"/>
  <c r="R3" i="25" s="1"/>
  <c r="S3" i="16"/>
  <c r="S37" i="16" s="1"/>
  <c r="S3" i="24" s="1"/>
  <c r="S3" i="25" s="1"/>
  <c r="T3" i="16"/>
  <c r="T37" i="16" s="1"/>
  <c r="T3" i="24" s="1"/>
  <c r="T3" i="25" s="1"/>
  <c r="U3" i="16"/>
  <c r="U37" i="16" s="1"/>
  <c r="U3" i="24" s="1"/>
  <c r="U3" i="25" s="1"/>
  <c r="V3" i="16"/>
  <c r="V37" i="16" s="1"/>
  <c r="V3" i="24" s="1"/>
  <c r="V3" i="25" s="1"/>
  <c r="A3" i="16"/>
  <c r="A37" i="16" s="1"/>
  <c r="A3" i="24" s="1"/>
  <c r="BM8" i="1"/>
  <c r="E7" i="21" s="1"/>
  <c r="BN8" i="1"/>
  <c r="F7" i="21" s="1"/>
  <c r="BO8" i="1"/>
  <c r="G7" i="21" s="1"/>
  <c r="AR7" i="21" s="1"/>
  <c r="BP8" i="1"/>
  <c r="H7" i="21" s="1"/>
  <c r="BQ8" i="1"/>
  <c r="I7" i="21" s="1"/>
  <c r="BR8" i="1"/>
  <c r="J7" i="21" s="1"/>
  <c r="BS8" i="1"/>
  <c r="K7" i="21" s="1"/>
  <c r="BT8" i="1"/>
  <c r="L7" i="21" s="1"/>
  <c r="BU8" i="1"/>
  <c r="M7" i="21" s="1"/>
  <c r="BV8" i="1"/>
  <c r="N7" i="21" s="1"/>
  <c r="BW8" i="1"/>
  <c r="O7" i="21" s="1"/>
  <c r="BX8" i="1"/>
  <c r="P7" i="21" s="1"/>
  <c r="BY8" i="1"/>
  <c r="Q7" i="21" s="1"/>
  <c r="BZ8" i="1"/>
  <c r="R7" i="21" s="1"/>
  <c r="CA8" i="1"/>
  <c r="S7" i="21" s="1"/>
  <c r="BM9" i="1"/>
  <c r="E8" i="21" s="1"/>
  <c r="BN9" i="1"/>
  <c r="F8" i="21" s="1"/>
  <c r="BO9" i="1"/>
  <c r="G8" i="21" s="1"/>
  <c r="AR8" i="21" s="1"/>
  <c r="BP9" i="1"/>
  <c r="H8" i="21" s="1"/>
  <c r="BQ9" i="1"/>
  <c r="I8" i="21" s="1"/>
  <c r="BR9" i="1"/>
  <c r="J8" i="21" s="1"/>
  <c r="BS9" i="1"/>
  <c r="K8" i="21" s="1"/>
  <c r="BT9" i="1"/>
  <c r="L8" i="21" s="1"/>
  <c r="BU9" i="1"/>
  <c r="M8" i="21" s="1"/>
  <c r="BV9" i="1"/>
  <c r="N8" i="21" s="1"/>
  <c r="BW9" i="1"/>
  <c r="O8" i="21" s="1"/>
  <c r="BX9" i="1"/>
  <c r="P8" i="21" s="1"/>
  <c r="BY9" i="1"/>
  <c r="Q8" i="21" s="1"/>
  <c r="BZ9" i="1"/>
  <c r="R8" i="21" s="1"/>
  <c r="CA9" i="1"/>
  <c r="S8" i="21" s="1"/>
  <c r="BM10" i="1"/>
  <c r="E9" i="21" s="1"/>
  <c r="BN10" i="1"/>
  <c r="F9" i="21" s="1"/>
  <c r="BO10" i="1"/>
  <c r="G9" i="21" s="1"/>
  <c r="AR9" i="21" s="1"/>
  <c r="BP10" i="1"/>
  <c r="H9" i="21" s="1"/>
  <c r="BQ10" i="1"/>
  <c r="I9" i="21" s="1"/>
  <c r="BR10" i="1"/>
  <c r="J9" i="21" s="1"/>
  <c r="BS10" i="1"/>
  <c r="K9" i="21" s="1"/>
  <c r="BT10" i="1"/>
  <c r="L9" i="21" s="1"/>
  <c r="BU10" i="1"/>
  <c r="M9" i="21" s="1"/>
  <c r="BV10" i="1"/>
  <c r="N9" i="21" s="1"/>
  <c r="BW10" i="1"/>
  <c r="O9" i="21" s="1"/>
  <c r="BX10" i="1"/>
  <c r="P9" i="21" s="1"/>
  <c r="BY10" i="1"/>
  <c r="Q9" i="21" s="1"/>
  <c r="BZ10" i="1"/>
  <c r="R9" i="21" s="1"/>
  <c r="CA10" i="1"/>
  <c r="S9" i="21" s="1"/>
  <c r="BM11" i="1"/>
  <c r="E10" i="21" s="1"/>
  <c r="BN11" i="1"/>
  <c r="F10" i="21" s="1"/>
  <c r="BO11" i="1"/>
  <c r="G10" i="21" s="1"/>
  <c r="AR10" i="21" s="1"/>
  <c r="BP11" i="1"/>
  <c r="H10" i="21" s="1"/>
  <c r="BQ11" i="1"/>
  <c r="I10" i="21" s="1"/>
  <c r="BR11" i="1"/>
  <c r="J10" i="21" s="1"/>
  <c r="BS11" i="1"/>
  <c r="K10" i="21" s="1"/>
  <c r="BT11" i="1"/>
  <c r="L10" i="21" s="1"/>
  <c r="BU11" i="1"/>
  <c r="M10" i="21" s="1"/>
  <c r="BV11" i="1"/>
  <c r="N10" i="21" s="1"/>
  <c r="BW11" i="1"/>
  <c r="O10" i="21" s="1"/>
  <c r="BX11" i="1"/>
  <c r="P10" i="21" s="1"/>
  <c r="BY11" i="1"/>
  <c r="Q10" i="21" s="1"/>
  <c r="BZ11" i="1"/>
  <c r="R10" i="21" s="1"/>
  <c r="CA11" i="1"/>
  <c r="S10" i="21" s="1"/>
  <c r="BM12" i="1"/>
  <c r="E11" i="21" s="1"/>
  <c r="BN12" i="1"/>
  <c r="F11" i="21" s="1"/>
  <c r="BO12" i="1"/>
  <c r="G11" i="21" s="1"/>
  <c r="AR11" i="21" s="1"/>
  <c r="BP12" i="1"/>
  <c r="H11" i="21" s="1"/>
  <c r="BQ12" i="1"/>
  <c r="I11" i="21" s="1"/>
  <c r="BR12" i="1"/>
  <c r="J11" i="21" s="1"/>
  <c r="BS12" i="1"/>
  <c r="K11" i="21" s="1"/>
  <c r="BT12" i="1"/>
  <c r="L11" i="21" s="1"/>
  <c r="BU12" i="1"/>
  <c r="M11" i="21" s="1"/>
  <c r="BV12" i="1"/>
  <c r="N11" i="21" s="1"/>
  <c r="BW12" i="1"/>
  <c r="O11" i="21" s="1"/>
  <c r="BX12" i="1"/>
  <c r="P11" i="21" s="1"/>
  <c r="BY12" i="1"/>
  <c r="Q11" i="21" s="1"/>
  <c r="BZ12" i="1"/>
  <c r="R11" i="21" s="1"/>
  <c r="CA12" i="1"/>
  <c r="S11" i="21" s="1"/>
  <c r="BM13" i="1"/>
  <c r="E12" i="21" s="1"/>
  <c r="BN13" i="1"/>
  <c r="F12" i="21" s="1"/>
  <c r="BO13" i="1"/>
  <c r="G12" i="21" s="1"/>
  <c r="AR12" i="21" s="1"/>
  <c r="BP13" i="1"/>
  <c r="H12" i="21" s="1"/>
  <c r="BQ13" i="1"/>
  <c r="I12" i="21" s="1"/>
  <c r="BR13" i="1"/>
  <c r="J12" i="21" s="1"/>
  <c r="BS13" i="1"/>
  <c r="K12" i="21" s="1"/>
  <c r="BT13" i="1"/>
  <c r="L12" i="21" s="1"/>
  <c r="BU13" i="1"/>
  <c r="M12" i="21" s="1"/>
  <c r="BV13" i="1"/>
  <c r="N12" i="21" s="1"/>
  <c r="BW13" i="1"/>
  <c r="O12" i="21" s="1"/>
  <c r="BX13" i="1"/>
  <c r="P12" i="21" s="1"/>
  <c r="BY13" i="1"/>
  <c r="Q12" i="21" s="1"/>
  <c r="BZ13" i="1"/>
  <c r="R12" i="21" s="1"/>
  <c r="CA13" i="1"/>
  <c r="S12" i="21" s="1"/>
  <c r="BM14" i="1"/>
  <c r="E13" i="21" s="1"/>
  <c r="BN14" i="1"/>
  <c r="F13" i="21" s="1"/>
  <c r="BO14" i="1"/>
  <c r="G13" i="21" s="1"/>
  <c r="AR13" i="21" s="1"/>
  <c r="BP14" i="1"/>
  <c r="H13" i="21" s="1"/>
  <c r="BQ14" i="1"/>
  <c r="I13" i="21" s="1"/>
  <c r="BR14" i="1"/>
  <c r="J13" i="21" s="1"/>
  <c r="BS14" i="1"/>
  <c r="K13" i="21" s="1"/>
  <c r="BT14" i="1"/>
  <c r="L13" i="21" s="1"/>
  <c r="BU14" i="1"/>
  <c r="M13" i="21" s="1"/>
  <c r="BV14" i="1"/>
  <c r="N13" i="21" s="1"/>
  <c r="BW14" i="1"/>
  <c r="O13" i="21" s="1"/>
  <c r="BX14" i="1"/>
  <c r="P13" i="21" s="1"/>
  <c r="BY14" i="1"/>
  <c r="Q13" i="21" s="1"/>
  <c r="BZ14" i="1"/>
  <c r="R13" i="21" s="1"/>
  <c r="CA14" i="1"/>
  <c r="S13" i="21" s="1"/>
  <c r="BM15" i="1"/>
  <c r="E14" i="21" s="1"/>
  <c r="BN15" i="1"/>
  <c r="F14" i="21" s="1"/>
  <c r="BO15" i="1"/>
  <c r="G14" i="21" s="1"/>
  <c r="AR14" i="21" s="1"/>
  <c r="BP15" i="1"/>
  <c r="H14" i="21" s="1"/>
  <c r="BQ15" i="1"/>
  <c r="I14" i="21" s="1"/>
  <c r="BR15" i="1"/>
  <c r="J14" i="21" s="1"/>
  <c r="BS15" i="1"/>
  <c r="K14" i="21" s="1"/>
  <c r="BT15" i="1"/>
  <c r="L14" i="21" s="1"/>
  <c r="BU15" i="1"/>
  <c r="M14" i="21" s="1"/>
  <c r="BV15" i="1"/>
  <c r="N14" i="21" s="1"/>
  <c r="BW15" i="1"/>
  <c r="O14" i="21" s="1"/>
  <c r="BX15" i="1"/>
  <c r="P14" i="21" s="1"/>
  <c r="BY15" i="1"/>
  <c r="Q14" i="21" s="1"/>
  <c r="BZ15" i="1"/>
  <c r="R14" i="21" s="1"/>
  <c r="CA15" i="1"/>
  <c r="S14" i="21" s="1"/>
  <c r="BM16" i="1"/>
  <c r="E15" i="21" s="1"/>
  <c r="BN16" i="1"/>
  <c r="F15" i="21" s="1"/>
  <c r="BO16" i="1"/>
  <c r="G15" i="21" s="1"/>
  <c r="AR15" i="21" s="1"/>
  <c r="BP16" i="1"/>
  <c r="H15" i="21" s="1"/>
  <c r="BQ16" i="1"/>
  <c r="I15" i="21" s="1"/>
  <c r="BR16" i="1"/>
  <c r="J15" i="21" s="1"/>
  <c r="BS16" i="1"/>
  <c r="K15" i="21" s="1"/>
  <c r="BT16" i="1"/>
  <c r="L15" i="21" s="1"/>
  <c r="BU16" i="1"/>
  <c r="M15" i="21" s="1"/>
  <c r="BV16" i="1"/>
  <c r="N15" i="21" s="1"/>
  <c r="BW16" i="1"/>
  <c r="O15" i="21" s="1"/>
  <c r="BX16" i="1"/>
  <c r="P15" i="21" s="1"/>
  <c r="BY16" i="1"/>
  <c r="Q15" i="21" s="1"/>
  <c r="BZ16" i="1"/>
  <c r="R15" i="21" s="1"/>
  <c r="CA16" i="1"/>
  <c r="S15" i="21" s="1"/>
  <c r="BM17" i="1"/>
  <c r="E16" i="21" s="1"/>
  <c r="BN17" i="1"/>
  <c r="F16" i="21" s="1"/>
  <c r="BO17" i="1"/>
  <c r="G16" i="21" s="1"/>
  <c r="AR16" i="21" s="1"/>
  <c r="BP17" i="1"/>
  <c r="H16" i="21" s="1"/>
  <c r="BQ17" i="1"/>
  <c r="I16" i="21" s="1"/>
  <c r="BR17" i="1"/>
  <c r="J16" i="21" s="1"/>
  <c r="BS17" i="1"/>
  <c r="K16" i="21" s="1"/>
  <c r="BT17" i="1"/>
  <c r="L16" i="21" s="1"/>
  <c r="BU17" i="1"/>
  <c r="M16" i="21" s="1"/>
  <c r="BV17" i="1"/>
  <c r="N16" i="21" s="1"/>
  <c r="BW17" i="1"/>
  <c r="O16" i="21" s="1"/>
  <c r="BX17" i="1"/>
  <c r="P16" i="21" s="1"/>
  <c r="BY17" i="1"/>
  <c r="Q16" i="21" s="1"/>
  <c r="BZ17" i="1"/>
  <c r="R16" i="21" s="1"/>
  <c r="CA17" i="1"/>
  <c r="S16" i="21" s="1"/>
  <c r="BM19" i="1"/>
  <c r="E18" i="21" s="1"/>
  <c r="BN19" i="1"/>
  <c r="F18" i="21" s="1"/>
  <c r="BO19" i="1"/>
  <c r="G18" i="21" s="1"/>
  <c r="AR18" i="21" s="1"/>
  <c r="BP19" i="1"/>
  <c r="H18" i="21" s="1"/>
  <c r="BQ19" i="1"/>
  <c r="I18" i="21" s="1"/>
  <c r="BR19" i="1"/>
  <c r="J18" i="21" s="1"/>
  <c r="BS19" i="1"/>
  <c r="K18" i="21" s="1"/>
  <c r="BT19" i="1"/>
  <c r="L18" i="21" s="1"/>
  <c r="BU19" i="1"/>
  <c r="M18" i="21" s="1"/>
  <c r="BV19" i="1"/>
  <c r="N18" i="21" s="1"/>
  <c r="BW19" i="1"/>
  <c r="O18" i="21" s="1"/>
  <c r="BX19" i="1"/>
  <c r="P18" i="21" s="1"/>
  <c r="BY19" i="1"/>
  <c r="Q18" i="21" s="1"/>
  <c r="BZ19" i="1"/>
  <c r="R18" i="21" s="1"/>
  <c r="CA19" i="1"/>
  <c r="S18" i="21" s="1"/>
  <c r="BM20" i="1"/>
  <c r="E19" i="21" s="1"/>
  <c r="BN20" i="1"/>
  <c r="F19" i="21" s="1"/>
  <c r="BO20" i="1"/>
  <c r="G19" i="21" s="1"/>
  <c r="AR19" i="21" s="1"/>
  <c r="BP20" i="1"/>
  <c r="H19" i="21" s="1"/>
  <c r="BQ20" i="1"/>
  <c r="I19" i="21" s="1"/>
  <c r="BR20" i="1"/>
  <c r="J19" i="21" s="1"/>
  <c r="BS20" i="1"/>
  <c r="K19" i="21" s="1"/>
  <c r="BT20" i="1"/>
  <c r="L19" i="21" s="1"/>
  <c r="BU20" i="1"/>
  <c r="M19" i="21" s="1"/>
  <c r="BV20" i="1"/>
  <c r="N19" i="21" s="1"/>
  <c r="BW20" i="1"/>
  <c r="O19" i="21" s="1"/>
  <c r="BX20" i="1"/>
  <c r="P19" i="21" s="1"/>
  <c r="BY20" i="1"/>
  <c r="Q19" i="21" s="1"/>
  <c r="BZ20" i="1"/>
  <c r="R19" i="21" s="1"/>
  <c r="CA20" i="1"/>
  <c r="S19" i="21" s="1"/>
  <c r="BM21" i="1"/>
  <c r="E20" i="21" s="1"/>
  <c r="BN21" i="1"/>
  <c r="F20" i="21" s="1"/>
  <c r="BO21" i="1"/>
  <c r="G20" i="21" s="1"/>
  <c r="AR20" i="21" s="1"/>
  <c r="BP21" i="1"/>
  <c r="H20" i="21" s="1"/>
  <c r="BQ21" i="1"/>
  <c r="I20" i="21" s="1"/>
  <c r="BR21" i="1"/>
  <c r="J20" i="21" s="1"/>
  <c r="BS21" i="1"/>
  <c r="K20" i="21" s="1"/>
  <c r="BT21" i="1"/>
  <c r="L20" i="21" s="1"/>
  <c r="BU21" i="1"/>
  <c r="M20" i="21" s="1"/>
  <c r="BV21" i="1"/>
  <c r="N20" i="21" s="1"/>
  <c r="BW21" i="1"/>
  <c r="O20" i="21" s="1"/>
  <c r="BX21" i="1"/>
  <c r="P20" i="21" s="1"/>
  <c r="BY21" i="1"/>
  <c r="Q20" i="21" s="1"/>
  <c r="BZ21" i="1"/>
  <c r="R20" i="21" s="1"/>
  <c r="CA21" i="1"/>
  <c r="S20" i="21" s="1"/>
  <c r="BM23" i="1"/>
  <c r="E22" i="21" s="1"/>
  <c r="BN23" i="1"/>
  <c r="F22" i="21" s="1"/>
  <c r="BO23" i="1"/>
  <c r="G22" i="21" s="1"/>
  <c r="AR22" i="21" s="1"/>
  <c r="BP23" i="1"/>
  <c r="H22" i="21" s="1"/>
  <c r="BQ23" i="1"/>
  <c r="I22" i="21" s="1"/>
  <c r="BR23" i="1"/>
  <c r="J22" i="21" s="1"/>
  <c r="BS23" i="1"/>
  <c r="K22" i="21" s="1"/>
  <c r="BT23" i="1"/>
  <c r="L22" i="21" s="1"/>
  <c r="BU23" i="1"/>
  <c r="M22" i="21" s="1"/>
  <c r="BV23" i="1"/>
  <c r="N22" i="21" s="1"/>
  <c r="BW23" i="1"/>
  <c r="O22" i="21" s="1"/>
  <c r="BX23" i="1"/>
  <c r="P22" i="21" s="1"/>
  <c r="BY23" i="1"/>
  <c r="Q22" i="21" s="1"/>
  <c r="BZ23" i="1"/>
  <c r="R22" i="21" s="1"/>
  <c r="CA23" i="1"/>
  <c r="S22" i="21" s="1"/>
  <c r="BM24" i="1"/>
  <c r="E23" i="21" s="1"/>
  <c r="BN24" i="1"/>
  <c r="F23" i="21" s="1"/>
  <c r="BO24" i="1"/>
  <c r="G23" i="21" s="1"/>
  <c r="AR23" i="21" s="1"/>
  <c r="BP24" i="1"/>
  <c r="H23" i="21" s="1"/>
  <c r="BQ24" i="1"/>
  <c r="I23" i="21" s="1"/>
  <c r="BR24" i="1"/>
  <c r="J23" i="21" s="1"/>
  <c r="BS24" i="1"/>
  <c r="K23" i="21" s="1"/>
  <c r="BT24" i="1"/>
  <c r="L23" i="21" s="1"/>
  <c r="BU24" i="1"/>
  <c r="M23" i="21" s="1"/>
  <c r="BV24" i="1"/>
  <c r="N23" i="21" s="1"/>
  <c r="BW24" i="1"/>
  <c r="O23" i="21" s="1"/>
  <c r="BX24" i="1"/>
  <c r="P23" i="21" s="1"/>
  <c r="BY24" i="1"/>
  <c r="Q23" i="21" s="1"/>
  <c r="BZ24" i="1"/>
  <c r="R23" i="21" s="1"/>
  <c r="CA24" i="1"/>
  <c r="S23" i="21" s="1"/>
  <c r="BM25" i="1"/>
  <c r="E24" i="21" s="1"/>
  <c r="BN25" i="1"/>
  <c r="F24" i="21" s="1"/>
  <c r="BO25" i="1"/>
  <c r="G24" i="21" s="1"/>
  <c r="AR24" i="21" s="1"/>
  <c r="BP25" i="1"/>
  <c r="H24" i="21" s="1"/>
  <c r="BQ25" i="1"/>
  <c r="I24" i="21" s="1"/>
  <c r="BR25" i="1"/>
  <c r="J24" i="21" s="1"/>
  <c r="BS25" i="1"/>
  <c r="K24" i="21" s="1"/>
  <c r="BT25" i="1"/>
  <c r="L24" i="21" s="1"/>
  <c r="BU25" i="1"/>
  <c r="M24" i="21" s="1"/>
  <c r="BV25" i="1"/>
  <c r="N24" i="21" s="1"/>
  <c r="BW25" i="1"/>
  <c r="O24" i="21" s="1"/>
  <c r="BX25" i="1"/>
  <c r="P24" i="21" s="1"/>
  <c r="BY25" i="1"/>
  <c r="Q24" i="21" s="1"/>
  <c r="BZ25" i="1"/>
  <c r="R24" i="21" s="1"/>
  <c r="CA25" i="1"/>
  <c r="S24" i="21" s="1"/>
  <c r="BM26" i="1"/>
  <c r="E25" i="21" s="1"/>
  <c r="BN26" i="1"/>
  <c r="F25" i="21" s="1"/>
  <c r="BO26" i="1"/>
  <c r="G25" i="21" s="1"/>
  <c r="AR25" i="21" s="1"/>
  <c r="BP26" i="1"/>
  <c r="H25" i="21" s="1"/>
  <c r="BQ26" i="1"/>
  <c r="I25" i="21" s="1"/>
  <c r="BR26" i="1"/>
  <c r="J25" i="21" s="1"/>
  <c r="BS26" i="1"/>
  <c r="K25" i="21" s="1"/>
  <c r="BT26" i="1"/>
  <c r="L25" i="21" s="1"/>
  <c r="BU26" i="1"/>
  <c r="M25" i="21" s="1"/>
  <c r="BV26" i="1"/>
  <c r="N25" i="21" s="1"/>
  <c r="BW26" i="1"/>
  <c r="O25" i="21" s="1"/>
  <c r="BX26" i="1"/>
  <c r="P25" i="21" s="1"/>
  <c r="BY26" i="1"/>
  <c r="Q25" i="21" s="1"/>
  <c r="BZ26" i="1"/>
  <c r="R25" i="21" s="1"/>
  <c r="CA26" i="1"/>
  <c r="S25" i="21" s="1"/>
  <c r="BM27" i="1"/>
  <c r="E26" i="21" s="1"/>
  <c r="BN27" i="1"/>
  <c r="F26" i="21" s="1"/>
  <c r="BO27" i="1"/>
  <c r="G26" i="21" s="1"/>
  <c r="AR26" i="21" s="1"/>
  <c r="BP27" i="1"/>
  <c r="H26" i="21" s="1"/>
  <c r="BQ27" i="1"/>
  <c r="I26" i="21" s="1"/>
  <c r="BR27" i="1"/>
  <c r="J26" i="21" s="1"/>
  <c r="BS27" i="1"/>
  <c r="K26" i="21" s="1"/>
  <c r="BT27" i="1"/>
  <c r="L26" i="21" s="1"/>
  <c r="BU27" i="1"/>
  <c r="M26" i="21" s="1"/>
  <c r="BV27" i="1"/>
  <c r="N26" i="21" s="1"/>
  <c r="BW27" i="1"/>
  <c r="O26" i="21" s="1"/>
  <c r="BX27" i="1"/>
  <c r="P26" i="21" s="1"/>
  <c r="BY27" i="1"/>
  <c r="Q26" i="21" s="1"/>
  <c r="BZ27" i="1"/>
  <c r="R26" i="21" s="1"/>
  <c r="CA27" i="1"/>
  <c r="S26" i="21" s="1"/>
  <c r="BM29" i="1"/>
  <c r="E28" i="21" s="1"/>
  <c r="BN29" i="1"/>
  <c r="F28" i="21" s="1"/>
  <c r="BO29" i="1"/>
  <c r="G28" i="21" s="1"/>
  <c r="AR28" i="21" s="1"/>
  <c r="BP29" i="1"/>
  <c r="H28" i="21" s="1"/>
  <c r="BQ29" i="1"/>
  <c r="I28" i="21" s="1"/>
  <c r="BR29" i="1"/>
  <c r="J28" i="21" s="1"/>
  <c r="BS29" i="1"/>
  <c r="K28" i="21" s="1"/>
  <c r="BT29" i="1"/>
  <c r="L28" i="21" s="1"/>
  <c r="BU29" i="1"/>
  <c r="M28" i="21" s="1"/>
  <c r="BV29" i="1"/>
  <c r="N28" i="21" s="1"/>
  <c r="BW29" i="1"/>
  <c r="O28" i="21" s="1"/>
  <c r="BX29" i="1"/>
  <c r="P28" i="21" s="1"/>
  <c r="BY29" i="1"/>
  <c r="Q28" i="21" s="1"/>
  <c r="BZ29" i="1"/>
  <c r="R28" i="21" s="1"/>
  <c r="CA29" i="1"/>
  <c r="S28" i="21" s="1"/>
  <c r="T9" i="21"/>
  <c r="T10" i="21"/>
  <c r="T11" i="21"/>
  <c r="T12" i="21"/>
  <c r="T13" i="21"/>
  <c r="T14" i="21"/>
  <c r="T15" i="21"/>
  <c r="T16" i="21"/>
  <c r="T17" i="21"/>
  <c r="T18" i="21"/>
  <c r="T19" i="21"/>
  <c r="T20" i="21"/>
  <c r="T21" i="21"/>
  <c r="T22" i="21"/>
  <c r="T23" i="21"/>
  <c r="T24" i="21"/>
  <c r="T25" i="21"/>
  <c r="T26" i="21"/>
  <c r="T27" i="21"/>
  <c r="T28" i="21"/>
  <c r="T29" i="21"/>
  <c r="AL30" i="1"/>
  <c r="AL29" i="1"/>
  <c r="AL24" i="1"/>
  <c r="AE24" i="1" s="1"/>
  <c r="AL25" i="1"/>
  <c r="AE25" i="1" s="1"/>
  <c r="AL26" i="1"/>
  <c r="AE26" i="1" s="1"/>
  <c r="AL27" i="1"/>
  <c r="AE27" i="1" s="1"/>
  <c r="AL28" i="1"/>
  <c r="AJ28" i="1" s="1"/>
  <c r="AL23" i="1"/>
  <c r="AE23" i="1" s="1"/>
  <c r="AL20" i="1"/>
  <c r="AE20" i="1" s="1"/>
  <c r="AL21" i="1"/>
  <c r="AE21" i="1" s="1"/>
  <c r="AL22" i="1"/>
  <c r="AE22" i="1" s="1"/>
  <c r="AL19" i="1"/>
  <c r="AE19" i="1" s="1"/>
  <c r="AL8" i="1"/>
  <c r="AE8" i="1" s="1"/>
  <c r="AL9" i="1"/>
  <c r="AE9" i="1" s="1"/>
  <c r="AL10" i="1"/>
  <c r="AE10" i="1" s="1"/>
  <c r="AL11" i="1"/>
  <c r="AE11" i="1" s="1"/>
  <c r="AL12" i="1"/>
  <c r="AE12" i="1" s="1"/>
  <c r="AL13" i="1"/>
  <c r="AE13" i="1" s="1"/>
  <c r="AL14" i="1"/>
  <c r="AE14" i="1" s="1"/>
  <c r="AL15" i="1"/>
  <c r="AE15" i="1" s="1"/>
  <c r="AL16" i="1"/>
  <c r="AE16" i="1" s="1"/>
  <c r="AL17" i="1"/>
  <c r="AE17" i="1" s="1"/>
  <c r="AL18" i="1"/>
  <c r="AE18" i="1" s="1"/>
  <c r="AO28" i="1"/>
  <c r="BN28" i="1" s="1"/>
  <c r="F27" i="21" s="1"/>
  <c r="AP28" i="1"/>
  <c r="BO28" i="1" s="1"/>
  <c r="G27" i="21" s="1"/>
  <c r="AR27" i="21" s="1"/>
  <c r="AQ28" i="1"/>
  <c r="BP28" i="1" s="1"/>
  <c r="H27" i="21" s="1"/>
  <c r="AR28" i="1"/>
  <c r="BQ28" i="1" s="1"/>
  <c r="I27" i="21" s="1"/>
  <c r="AS28" i="1"/>
  <c r="BR28" i="1" s="1"/>
  <c r="J27" i="21" s="1"/>
  <c r="AT28" i="1"/>
  <c r="BS28" i="1" s="1"/>
  <c r="K27" i="21" s="1"/>
  <c r="AU28" i="1"/>
  <c r="BT28" i="1" s="1"/>
  <c r="L27" i="21" s="1"/>
  <c r="AV28" i="1"/>
  <c r="BU28" i="1" s="1"/>
  <c r="M27" i="21" s="1"/>
  <c r="AW28" i="1"/>
  <c r="BV28" i="1" s="1"/>
  <c r="N27" i="21" s="1"/>
  <c r="AX28" i="1"/>
  <c r="BW28" i="1" s="1"/>
  <c r="O27" i="21" s="1"/>
  <c r="AY28" i="1"/>
  <c r="BX28" i="1" s="1"/>
  <c r="P27" i="21" s="1"/>
  <c r="AZ28" i="1"/>
  <c r="BY28" i="1" s="1"/>
  <c r="Q27" i="21" s="1"/>
  <c r="BA28" i="1"/>
  <c r="BZ28" i="1" s="1"/>
  <c r="R27" i="21" s="1"/>
  <c r="BB28" i="1"/>
  <c r="CA28" i="1" s="1"/>
  <c r="S27" i="21" s="1"/>
  <c r="AN28" i="1"/>
  <c r="BM28" i="1" s="1"/>
  <c r="E27" i="21" s="1"/>
  <c r="AO22" i="1"/>
  <c r="BN22" i="1" s="1"/>
  <c r="F21" i="21" s="1"/>
  <c r="AP22" i="1"/>
  <c r="BO22" i="1" s="1"/>
  <c r="G21" i="21" s="1"/>
  <c r="AR21" i="21" s="1"/>
  <c r="AQ22" i="1"/>
  <c r="BP22" i="1" s="1"/>
  <c r="H21" i="21" s="1"/>
  <c r="AR22" i="1"/>
  <c r="BQ22" i="1" s="1"/>
  <c r="I21" i="21" s="1"/>
  <c r="AS22" i="1"/>
  <c r="BR22" i="1" s="1"/>
  <c r="J21" i="21" s="1"/>
  <c r="AT22" i="1"/>
  <c r="BS22" i="1" s="1"/>
  <c r="K21" i="21" s="1"/>
  <c r="AU22" i="1"/>
  <c r="BT22" i="1" s="1"/>
  <c r="L21" i="21" s="1"/>
  <c r="AV22" i="1"/>
  <c r="BU22" i="1" s="1"/>
  <c r="M21" i="21" s="1"/>
  <c r="AW22" i="1"/>
  <c r="BV22" i="1" s="1"/>
  <c r="N21" i="21" s="1"/>
  <c r="AX22" i="1"/>
  <c r="BW22" i="1" s="1"/>
  <c r="O21" i="21" s="1"/>
  <c r="AY22" i="1"/>
  <c r="BX22" i="1" s="1"/>
  <c r="P21" i="21" s="1"/>
  <c r="AZ22" i="1"/>
  <c r="BY22" i="1" s="1"/>
  <c r="Q21" i="21" s="1"/>
  <c r="BA22" i="1"/>
  <c r="BZ22" i="1" s="1"/>
  <c r="R21" i="21" s="1"/>
  <c r="BB22" i="1"/>
  <c r="CA22" i="1" s="1"/>
  <c r="S21" i="21" s="1"/>
  <c r="AN22" i="1"/>
  <c r="BM22" i="1" s="1"/>
  <c r="E21" i="21" s="1"/>
  <c r="AR18" i="1"/>
  <c r="BQ18" i="1" s="1"/>
  <c r="I17" i="21" s="1"/>
  <c r="AQ18" i="1"/>
  <c r="BP18" i="1" s="1"/>
  <c r="H17" i="21" s="1"/>
  <c r="AP18" i="1"/>
  <c r="BO18" i="1" s="1"/>
  <c r="G17" i="21" s="1"/>
  <c r="AR17" i="21" s="1"/>
  <c r="AO18" i="1"/>
  <c r="BN18" i="1" s="1"/>
  <c r="F17" i="21" s="1"/>
  <c r="AN18" i="1"/>
  <c r="BM18" i="1" s="1"/>
  <c r="E17" i="21" s="1"/>
  <c r="AS18" i="1"/>
  <c r="BR18" i="1" s="1"/>
  <c r="J17" i="21" s="1"/>
  <c r="AT18" i="1"/>
  <c r="BS18" i="1" s="1"/>
  <c r="K17" i="21" s="1"/>
  <c r="AU18" i="1"/>
  <c r="BT18" i="1" s="1"/>
  <c r="L17" i="21" s="1"/>
  <c r="AV18" i="1"/>
  <c r="BU18" i="1" s="1"/>
  <c r="M17" i="21" s="1"/>
  <c r="AW18" i="1"/>
  <c r="BV18" i="1" s="1"/>
  <c r="N17" i="21" s="1"/>
  <c r="AX18" i="1"/>
  <c r="BW18" i="1" s="1"/>
  <c r="O17" i="21" s="1"/>
  <c r="AY18" i="1"/>
  <c r="BX18" i="1" s="1"/>
  <c r="P17" i="21" s="1"/>
  <c r="AZ18" i="1"/>
  <c r="BY18" i="1" s="1"/>
  <c r="Q17" i="21" s="1"/>
  <c r="BA18" i="1"/>
  <c r="BZ18" i="1" s="1"/>
  <c r="R17" i="21" s="1"/>
  <c r="BB18" i="1"/>
  <c r="CA18" i="1" s="1"/>
  <c r="S17" i="21" s="1"/>
  <c r="A9" i="1"/>
  <c r="A10" i="1"/>
  <c r="A11" i="1"/>
  <c r="A12" i="1"/>
  <c r="A13" i="1"/>
  <c r="A14" i="1"/>
  <c r="A15" i="1"/>
  <c r="A16" i="1"/>
  <c r="A17" i="1"/>
  <c r="A18" i="1"/>
  <c r="A19" i="1"/>
  <c r="A20" i="1"/>
  <c r="A21" i="1"/>
  <c r="A22" i="1"/>
  <c r="A23" i="1"/>
  <c r="A24" i="1"/>
  <c r="A25" i="1"/>
  <c r="A26" i="1"/>
  <c r="A27" i="1"/>
  <c r="A28" i="1"/>
  <c r="A29" i="1"/>
  <c r="A30" i="1"/>
  <c r="A31" i="1"/>
  <c r="A32" i="1"/>
  <c r="A33" i="1"/>
  <c r="A34" i="1"/>
  <c r="A35" i="1"/>
  <c r="B7" i="1"/>
  <c r="R35" i="1"/>
  <c r="Q35" i="1"/>
  <c r="P35" i="1"/>
  <c r="O35" i="1"/>
  <c r="N35" i="1"/>
  <c r="M35" i="1"/>
  <c r="L35" i="1"/>
  <c r="K35" i="1"/>
  <c r="J35" i="1"/>
  <c r="I35" i="1"/>
  <c r="H35" i="1"/>
  <c r="G35" i="1"/>
  <c r="F35" i="1"/>
  <c r="E35" i="1"/>
  <c r="D35" i="1"/>
  <c r="C35" i="1"/>
  <c r="AM30" i="1" s="1"/>
  <c r="BL30" i="1" s="1"/>
  <c r="D29" i="21" s="1"/>
  <c r="BJ29" i="21" s="1"/>
  <c r="CD29" i="21" s="1"/>
  <c r="C34" i="1"/>
  <c r="AM29" i="1" s="1"/>
  <c r="BL29" i="1" s="1"/>
  <c r="D28" i="21" s="1"/>
  <c r="BJ28" i="21" s="1"/>
  <c r="CD28" i="21" s="1"/>
  <c r="C33" i="1"/>
  <c r="C32" i="1"/>
  <c r="AM28" i="1" s="1"/>
  <c r="BL28" i="1" s="1"/>
  <c r="D27" i="21" s="1"/>
  <c r="BJ27" i="21" s="1"/>
  <c r="CD27" i="21" s="1"/>
  <c r="C31" i="1"/>
  <c r="AM27" i="1" s="1"/>
  <c r="BL27" i="1" s="1"/>
  <c r="D26" i="21" s="1"/>
  <c r="BJ26" i="21" s="1"/>
  <c r="CD26" i="21" s="1"/>
  <c r="C30" i="1"/>
  <c r="AM26" i="1" s="1"/>
  <c r="BL26" i="1" s="1"/>
  <c r="D25" i="21" s="1"/>
  <c r="BJ25" i="21" s="1"/>
  <c r="CD25" i="21" s="1"/>
  <c r="C29" i="1"/>
  <c r="AM25" i="1" s="1"/>
  <c r="BL25" i="1" s="1"/>
  <c r="D24" i="21" s="1"/>
  <c r="BJ24" i="21" s="1"/>
  <c r="CD24" i="21" s="1"/>
  <c r="C28" i="1"/>
  <c r="AM24" i="1" s="1"/>
  <c r="BL24" i="1" s="1"/>
  <c r="D23" i="21" s="1"/>
  <c r="BJ23" i="21" s="1"/>
  <c r="CD23" i="21" s="1"/>
  <c r="C27" i="1"/>
  <c r="AM23" i="1" s="1"/>
  <c r="BL23" i="1" s="1"/>
  <c r="D22" i="21" s="1"/>
  <c r="BJ22" i="21" s="1"/>
  <c r="CD22" i="21" s="1"/>
  <c r="C26" i="1"/>
  <c r="C25" i="1"/>
  <c r="C24" i="1"/>
  <c r="AM22" i="1" s="1"/>
  <c r="BL22" i="1" s="1"/>
  <c r="D21" i="21" s="1"/>
  <c r="BJ21" i="21" s="1"/>
  <c r="CD21" i="21" s="1"/>
  <c r="C23" i="1"/>
  <c r="AM21" i="1" s="1"/>
  <c r="BL21" i="1" s="1"/>
  <c r="D20" i="21" s="1"/>
  <c r="BJ20" i="21" s="1"/>
  <c r="CD20" i="21" s="1"/>
  <c r="C22" i="1"/>
  <c r="AM20" i="1" s="1"/>
  <c r="BL20" i="1" s="1"/>
  <c r="D19" i="21" s="1"/>
  <c r="BJ19" i="21" s="1"/>
  <c r="CD19" i="21" s="1"/>
  <c r="C21" i="1"/>
  <c r="AM19" i="1" s="1"/>
  <c r="BL19" i="1" s="1"/>
  <c r="D18" i="21" s="1"/>
  <c r="BJ18" i="21" s="1"/>
  <c r="CD18" i="21" s="1"/>
  <c r="C20" i="1"/>
  <c r="C19" i="1"/>
  <c r="C18" i="1"/>
  <c r="AM18" i="1" s="1"/>
  <c r="BL18" i="1" s="1"/>
  <c r="D17" i="21" s="1"/>
  <c r="BJ17" i="21" s="1"/>
  <c r="CD17" i="21" s="1"/>
  <c r="C17" i="1"/>
  <c r="AM17" i="1" s="1"/>
  <c r="BL17" i="1" s="1"/>
  <c r="D16" i="21" s="1"/>
  <c r="BJ16" i="21" s="1"/>
  <c r="CD16" i="21" s="1"/>
  <c r="C16" i="1"/>
  <c r="AM16" i="1" s="1"/>
  <c r="BL16" i="1" s="1"/>
  <c r="D15" i="21" s="1"/>
  <c r="BJ15" i="21" s="1"/>
  <c r="CD15" i="21" s="1"/>
  <c r="C15" i="1"/>
  <c r="AM15" i="1" s="1"/>
  <c r="BL15" i="1" s="1"/>
  <c r="D14" i="21" s="1"/>
  <c r="BJ14" i="21" s="1"/>
  <c r="CD14" i="21" s="1"/>
  <c r="C14" i="1"/>
  <c r="AM14" i="1" s="1"/>
  <c r="BL14" i="1" s="1"/>
  <c r="D13" i="21" s="1"/>
  <c r="BJ13" i="21" s="1"/>
  <c r="CD13" i="21" s="1"/>
  <c r="C13" i="1"/>
  <c r="AM13" i="1" s="1"/>
  <c r="BL13" i="1" s="1"/>
  <c r="D12" i="21" s="1"/>
  <c r="BJ12" i="21" s="1"/>
  <c r="CD12" i="21" s="1"/>
  <c r="C12" i="1"/>
  <c r="AM12" i="1" s="1"/>
  <c r="BL12" i="1" s="1"/>
  <c r="D11" i="21" s="1"/>
  <c r="BJ11" i="21" s="1"/>
  <c r="CD11" i="21" s="1"/>
  <c r="C11" i="1"/>
  <c r="AM11" i="1" s="1"/>
  <c r="BL11" i="1" s="1"/>
  <c r="D10" i="21" s="1"/>
  <c r="BJ10" i="21" s="1"/>
  <c r="CD10" i="21" s="1"/>
  <c r="C10" i="1"/>
  <c r="AM10" i="1" s="1"/>
  <c r="BL10" i="1" s="1"/>
  <c r="D9" i="21" s="1"/>
  <c r="BJ9" i="21" s="1"/>
  <c r="CD9" i="21" s="1"/>
  <c r="C9" i="1"/>
  <c r="AM9" i="1" s="1"/>
  <c r="BL9" i="1" s="1"/>
  <c r="D8" i="21" s="1"/>
  <c r="BJ8" i="21" s="1"/>
  <c r="CD8" i="21" s="1"/>
  <c r="C8" i="1"/>
  <c r="AM8" i="1" s="1"/>
  <c r="BL8" i="1" s="1"/>
  <c r="D7" i="21" s="1"/>
  <c r="BJ7" i="21" s="1"/>
  <c r="CD7" i="21" s="1"/>
  <c r="R7" i="1"/>
  <c r="Q7" i="1"/>
  <c r="P7" i="1"/>
  <c r="O7" i="1"/>
  <c r="N7" i="1"/>
  <c r="M7" i="1"/>
  <c r="L7" i="1"/>
  <c r="K7" i="1"/>
  <c r="J7" i="1"/>
  <c r="I7" i="1"/>
  <c r="H7" i="1"/>
  <c r="G7" i="1"/>
  <c r="F7" i="1"/>
  <c r="E7" i="1"/>
  <c r="D7" i="1"/>
  <c r="AE28" i="1" l="1"/>
  <c r="C7" i="1"/>
  <c r="AM7" i="1" s="1"/>
  <c r="BL7" i="1" s="1"/>
  <c r="AL7" i="1"/>
  <c r="AE7" i="1" s="1"/>
  <c r="AJ30" i="1"/>
  <c r="AE30" i="1"/>
  <c r="A8" i="1"/>
  <c r="AJ29" i="1"/>
  <c r="AE29" i="1"/>
  <c r="AF29" i="1" s="1"/>
  <c r="B42" i="24"/>
  <c r="B42" i="25" s="1"/>
  <c r="B40" i="24"/>
  <c r="B40" i="25" s="1"/>
  <c r="B73" i="16"/>
  <c r="B39" i="24" s="1"/>
  <c r="B39" i="25" s="1"/>
  <c r="B77" i="16"/>
  <c r="B43" i="24" s="1"/>
  <c r="B43" i="25" s="1"/>
  <c r="B38" i="24"/>
  <c r="B38" i="25" s="1"/>
  <c r="T7" i="21"/>
  <c r="T8" i="21"/>
  <c r="AB21" i="21"/>
  <c r="T6" i="21"/>
  <c r="AF8" i="1"/>
  <c r="AI8" i="1" s="1"/>
  <c r="BK8" i="1" s="1"/>
  <c r="C7" i="21" s="1"/>
  <c r="AF9" i="1"/>
  <c r="AF10" i="1"/>
  <c r="AF13" i="1"/>
  <c r="AF17" i="1"/>
  <c r="AF19" i="1"/>
  <c r="AF25" i="1"/>
  <c r="AO7" i="1"/>
  <c r="BN7" i="1" s="1"/>
  <c r="F6" i="21" s="1"/>
  <c r="U6" i="21" s="1"/>
  <c r="AP7" i="1"/>
  <c r="BO7" i="1" s="1"/>
  <c r="G6" i="21" s="1"/>
  <c r="AR6" i="21" s="1"/>
  <c r="AQ7" i="1"/>
  <c r="BP7" i="1" s="1"/>
  <c r="H6" i="21" s="1"/>
  <c r="AC6" i="21" s="1"/>
  <c r="AR7" i="1"/>
  <c r="BQ7" i="1" s="1"/>
  <c r="I6" i="21" s="1"/>
  <c r="AD6" i="21" s="1"/>
  <c r="AS7" i="1"/>
  <c r="BR7" i="1" s="1"/>
  <c r="J6" i="21" s="1"/>
  <c r="AA6" i="21" s="1"/>
  <c r="AT7" i="1"/>
  <c r="BS7" i="1" s="1"/>
  <c r="K6" i="21" s="1"/>
  <c r="AB6" i="21" s="1"/>
  <c r="AU7" i="1"/>
  <c r="BT7" i="1" s="1"/>
  <c r="L6" i="21" s="1"/>
  <c r="AE6" i="21" s="1"/>
  <c r="AV7" i="1"/>
  <c r="BU7" i="1" s="1"/>
  <c r="M6" i="21" s="1"/>
  <c r="AF6" i="21" s="1"/>
  <c r="AW7" i="1"/>
  <c r="BV7" i="1" s="1"/>
  <c r="N6" i="21" s="1"/>
  <c r="AX7" i="1"/>
  <c r="BW7" i="1" s="1"/>
  <c r="O6" i="21" s="1"/>
  <c r="AY7" i="1"/>
  <c r="BX7" i="1" s="1"/>
  <c r="P6" i="21" s="1"/>
  <c r="AZ7" i="1"/>
  <c r="BY7" i="1" s="1"/>
  <c r="Q6" i="21" s="1"/>
  <c r="BA7" i="1"/>
  <c r="BZ7" i="1" s="1"/>
  <c r="R6" i="21" s="1"/>
  <c r="BB7" i="1"/>
  <c r="CA7" i="1" s="1"/>
  <c r="S6" i="21" s="1"/>
  <c r="AN7" i="1"/>
  <c r="BM7" i="1" s="1"/>
  <c r="E6" i="21" s="1"/>
  <c r="BM6" i="21" s="1"/>
  <c r="AD8" i="21"/>
  <c r="AA8" i="21"/>
  <c r="AB8" i="21"/>
  <c r="AE8" i="21"/>
  <c r="AF8" i="21"/>
  <c r="AD9" i="21"/>
  <c r="AA9" i="21"/>
  <c r="AB9" i="21"/>
  <c r="AE9" i="21"/>
  <c r="AF9" i="21"/>
  <c r="AD10" i="21"/>
  <c r="AA10" i="21"/>
  <c r="AB10" i="21"/>
  <c r="AE10" i="21"/>
  <c r="AF10" i="21"/>
  <c r="AD11" i="21"/>
  <c r="AA11" i="21"/>
  <c r="AB11" i="21"/>
  <c r="AE11" i="21"/>
  <c r="AF11" i="21"/>
  <c r="AD12" i="21"/>
  <c r="AA12" i="21"/>
  <c r="AB12" i="21"/>
  <c r="AE12" i="21"/>
  <c r="AF12" i="21"/>
  <c r="AD13" i="21"/>
  <c r="AA13" i="21"/>
  <c r="AB13" i="21"/>
  <c r="AE13" i="21"/>
  <c r="AF13" i="21"/>
  <c r="AD14" i="21"/>
  <c r="AA14" i="21"/>
  <c r="AB14" i="21"/>
  <c r="AE14" i="21"/>
  <c r="AF14" i="21"/>
  <c r="AD15" i="21"/>
  <c r="AA15" i="21"/>
  <c r="AB15" i="21"/>
  <c r="AE15" i="21"/>
  <c r="AF15" i="21"/>
  <c r="AD16" i="21"/>
  <c r="AA16" i="21"/>
  <c r="AB16" i="21"/>
  <c r="AE16" i="21"/>
  <c r="AF16" i="21"/>
  <c r="AD17" i="21"/>
  <c r="AA17" i="21"/>
  <c r="AB17" i="21"/>
  <c r="AE17" i="21"/>
  <c r="AF17" i="21"/>
  <c r="AD18" i="21"/>
  <c r="AA18" i="21"/>
  <c r="AB18" i="21"/>
  <c r="AE18" i="21"/>
  <c r="AF18" i="21"/>
  <c r="AD19" i="21"/>
  <c r="AA19" i="21"/>
  <c r="AB19" i="21"/>
  <c r="AE19" i="21"/>
  <c r="AF19" i="21"/>
  <c r="AD20" i="21"/>
  <c r="AA20" i="21"/>
  <c r="AB20" i="21"/>
  <c r="AE20" i="21"/>
  <c r="AF20" i="21"/>
  <c r="AD21" i="21"/>
  <c r="AA21" i="21"/>
  <c r="AE21" i="21"/>
  <c r="AF21" i="21"/>
  <c r="AD22" i="21"/>
  <c r="AA22" i="21"/>
  <c r="AB22" i="21"/>
  <c r="AE22" i="21"/>
  <c r="AF22" i="21"/>
  <c r="AD23" i="21"/>
  <c r="AA23" i="21"/>
  <c r="AB23" i="21"/>
  <c r="AE23" i="21"/>
  <c r="AF23" i="21"/>
  <c r="AD24" i="21"/>
  <c r="AA24" i="21"/>
  <c r="AB24" i="21"/>
  <c r="AE24" i="21"/>
  <c r="AF24" i="21"/>
  <c r="AD25" i="21"/>
  <c r="AA25" i="21"/>
  <c r="AB25" i="21"/>
  <c r="AE25" i="21"/>
  <c r="AF25" i="21"/>
  <c r="AD26" i="21"/>
  <c r="AA26" i="21"/>
  <c r="AB26" i="21"/>
  <c r="AE26" i="21"/>
  <c r="AF26" i="21"/>
  <c r="AD27" i="21"/>
  <c r="AA27" i="21"/>
  <c r="AB27" i="21"/>
  <c r="AE27" i="21"/>
  <c r="AF27" i="21"/>
  <c r="AD28" i="21"/>
  <c r="AA28" i="21"/>
  <c r="AB28" i="21"/>
  <c r="AE28" i="21"/>
  <c r="AF28" i="21"/>
  <c r="AF7" i="21"/>
  <c r="AC7" i="21"/>
  <c r="AD7" i="21"/>
  <c r="AA7" i="21"/>
  <c r="AB7" i="21"/>
  <c r="AE7" i="21"/>
  <c r="AC8" i="21"/>
  <c r="AC9" i="21"/>
  <c r="AC10" i="21"/>
  <c r="AC11" i="21"/>
  <c r="AC12" i="21"/>
  <c r="AC13" i="21"/>
  <c r="AC14" i="21"/>
  <c r="AC15" i="21"/>
  <c r="AC16" i="21"/>
  <c r="AC17" i="21"/>
  <c r="AC18" i="21"/>
  <c r="AC19" i="21"/>
  <c r="AC20" i="21"/>
  <c r="AC21" i="21"/>
  <c r="AC22" i="21"/>
  <c r="AC23" i="21"/>
  <c r="AC24" i="21"/>
  <c r="AC25" i="21"/>
  <c r="AC26" i="21"/>
  <c r="AC27" i="21"/>
  <c r="AC28" i="21"/>
  <c r="BM8" i="21"/>
  <c r="BM9" i="21"/>
  <c r="BM10" i="21"/>
  <c r="BM11" i="21"/>
  <c r="BM12" i="21"/>
  <c r="BM13" i="21"/>
  <c r="BM14" i="21"/>
  <c r="BM15" i="21"/>
  <c r="BM16" i="21"/>
  <c r="BM17" i="21"/>
  <c r="BM18" i="21"/>
  <c r="BM19" i="21"/>
  <c r="BM20" i="21"/>
  <c r="BM21" i="21"/>
  <c r="BM22" i="21"/>
  <c r="BM23" i="21"/>
  <c r="BM24" i="21"/>
  <c r="BM25" i="21"/>
  <c r="BM26" i="21"/>
  <c r="BM27" i="21"/>
  <c r="BM28" i="21"/>
  <c r="BM7" i="21"/>
  <c r="AO30" i="1"/>
  <c r="BN30" i="1" s="1"/>
  <c r="F29" i="21" s="1"/>
  <c r="AP30" i="1"/>
  <c r="BO30" i="1" s="1"/>
  <c r="G29" i="21" s="1"/>
  <c r="AR29" i="21" s="1"/>
  <c r="AQ30" i="1"/>
  <c r="AR30" i="1"/>
  <c r="AS30" i="1"/>
  <c r="AT30" i="1"/>
  <c r="AU30" i="1"/>
  <c r="AV30" i="1"/>
  <c r="AW30" i="1"/>
  <c r="BV30" i="1" s="1"/>
  <c r="N29" i="21" s="1"/>
  <c r="AX30" i="1"/>
  <c r="BW30" i="1" s="1"/>
  <c r="O29" i="21" s="1"/>
  <c r="AY30" i="1"/>
  <c r="BX30" i="1" s="1"/>
  <c r="P29" i="21" s="1"/>
  <c r="AZ30" i="1"/>
  <c r="BY30" i="1" s="1"/>
  <c r="Q29" i="21" s="1"/>
  <c r="BA30" i="1"/>
  <c r="BZ30" i="1" s="1"/>
  <c r="R29" i="21" s="1"/>
  <c r="BB30" i="1"/>
  <c r="CA30" i="1" s="1"/>
  <c r="S29" i="21" s="1"/>
  <c r="AN30" i="1"/>
  <c r="BR30" i="1" l="1"/>
  <c r="J29" i="21" s="1"/>
  <c r="AA29" i="21" s="1"/>
  <c r="BU30" i="1"/>
  <c r="M29" i="21" s="1"/>
  <c r="AF29" i="21" s="1"/>
  <c r="BS30" i="1"/>
  <c r="K29" i="21" s="1"/>
  <c r="AB29" i="21" s="1"/>
  <c r="BQ30" i="1"/>
  <c r="I29" i="21" s="1"/>
  <c r="AD29" i="21" s="1"/>
  <c r="BM30" i="1"/>
  <c r="E29" i="21" s="1"/>
  <c r="BM29" i="21" s="1"/>
  <c r="BT30" i="1"/>
  <c r="L29" i="21" s="1"/>
  <c r="AE29" i="21" s="1"/>
  <c r="BP30" i="1"/>
  <c r="H29" i="21" s="1"/>
  <c r="AC29" i="21" s="1"/>
  <c r="AI19" i="1"/>
  <c r="AI9" i="1"/>
  <c r="AI29" i="1"/>
  <c r="AI17" i="1"/>
  <c r="BK17" i="1" s="1"/>
  <c r="C16" i="21" s="1"/>
  <c r="Z16" i="21" s="1"/>
  <c r="AI25" i="1"/>
  <c r="AI13" i="1"/>
  <c r="AG29" i="1"/>
  <c r="BI29" i="1" s="1"/>
  <c r="A28" i="21" s="1"/>
  <c r="AI10" i="1"/>
  <c r="AF28" i="1"/>
  <c r="AI28" i="1" s="1"/>
  <c r="BK28" i="1" s="1"/>
  <c r="C27" i="21" s="1"/>
  <c r="AF16" i="1"/>
  <c r="AI16" i="1" s="1"/>
  <c r="BK16" i="1" s="1"/>
  <c r="C15" i="21" s="1"/>
  <c r="D6" i="21"/>
  <c r="BJ6" i="21" s="1"/>
  <c r="AF7" i="1"/>
  <c r="AJ7" i="1" s="1"/>
  <c r="AG30" i="1"/>
  <c r="BI30" i="1" s="1"/>
  <c r="A29" i="21" s="1"/>
  <c r="AH30" i="1"/>
  <c r="BJ30" i="1" s="1"/>
  <c r="B29" i="21" s="1"/>
  <c r="AI30" i="1"/>
  <c r="AG10" i="1"/>
  <c r="BI10" i="1" s="1"/>
  <c r="A9" i="21" s="1"/>
  <c r="BS6" i="21"/>
  <c r="Z7" i="21"/>
  <c r="BK7" i="21"/>
  <c r="U29" i="21"/>
  <c r="BS29" i="21"/>
  <c r="U28" i="21"/>
  <c r="BS28" i="21"/>
  <c r="U27" i="21"/>
  <c r="BS27" i="21"/>
  <c r="U26" i="21"/>
  <c r="BS26" i="21"/>
  <c r="U25" i="21"/>
  <c r="BS25" i="21"/>
  <c r="U24" i="21"/>
  <c r="BS24" i="21"/>
  <c r="U23" i="21"/>
  <c r="BS23" i="21"/>
  <c r="U22" i="21"/>
  <c r="BS22" i="21"/>
  <c r="U21" i="21"/>
  <c r="BS21" i="21"/>
  <c r="U20" i="21"/>
  <c r="BS20" i="21"/>
  <c r="U19" i="21"/>
  <c r="BS19" i="21"/>
  <c r="U18" i="21"/>
  <c r="BS18" i="21"/>
  <c r="U17" i="21"/>
  <c r="BS17" i="21"/>
  <c r="U16" i="21"/>
  <c r="BS16" i="21"/>
  <c r="U15" i="21"/>
  <c r="BS15" i="21"/>
  <c r="U14" i="21"/>
  <c r="BS14" i="21"/>
  <c r="U13" i="21"/>
  <c r="BS13" i="21"/>
  <c r="U12" i="21"/>
  <c r="BS12" i="21"/>
  <c r="U11" i="21"/>
  <c r="BS11" i="21"/>
  <c r="U10" i="21"/>
  <c r="BS10" i="21"/>
  <c r="U9" i="21"/>
  <c r="BS9" i="21"/>
  <c r="U8" i="21"/>
  <c r="BS8" i="21"/>
  <c r="U7" i="21"/>
  <c r="BS7" i="21"/>
  <c r="AG25" i="1"/>
  <c r="BI25" i="1" s="1"/>
  <c r="A24" i="21" s="1"/>
  <c r="AG19" i="1"/>
  <c r="BI19" i="1" s="1"/>
  <c r="A18" i="21" s="1"/>
  <c r="AG17" i="1"/>
  <c r="BI17" i="1" s="1"/>
  <c r="A16" i="21" s="1"/>
  <c r="AG13" i="1"/>
  <c r="BI13" i="1" s="1"/>
  <c r="A12" i="21" s="1"/>
  <c r="AG9" i="1"/>
  <c r="BI9" i="1" s="1"/>
  <c r="A8" i="21" s="1"/>
  <c r="AH29" i="1"/>
  <c r="BJ29" i="1" s="1"/>
  <c r="B28" i="21" s="1"/>
  <c r="AH25" i="1"/>
  <c r="BJ25" i="1" s="1"/>
  <c r="B24" i="21" s="1"/>
  <c r="AH19" i="1"/>
  <c r="BJ19" i="1" s="1"/>
  <c r="B18" i="21" s="1"/>
  <c r="AH17" i="1"/>
  <c r="BJ17" i="1" s="1"/>
  <c r="B16" i="21" s="1"/>
  <c r="AH13" i="1"/>
  <c r="BJ13" i="1" s="1"/>
  <c r="B12" i="21" s="1"/>
  <c r="AH9" i="1"/>
  <c r="BJ9" i="1" s="1"/>
  <c r="B8" i="21" s="1"/>
  <c r="AJ25" i="1"/>
  <c r="AJ17" i="1"/>
  <c r="AJ13" i="1"/>
  <c r="AJ9" i="1"/>
  <c r="AG8" i="1"/>
  <c r="BI8" i="1" s="1"/>
  <c r="A7" i="21" s="1"/>
  <c r="AJ10" i="1"/>
  <c r="AJ8" i="1"/>
  <c r="AJ19" i="1"/>
  <c r="AH10" i="1"/>
  <c r="BJ10" i="1" s="1"/>
  <c r="B9" i="21" s="1"/>
  <c r="AH8" i="1"/>
  <c r="BJ8" i="1" s="1"/>
  <c r="B7" i="21" s="1"/>
  <c r="AF18" i="1"/>
  <c r="AH18" i="1" s="1"/>
  <c r="BJ18" i="1" s="1"/>
  <c r="B17" i="21" s="1"/>
  <c r="AF22" i="1"/>
  <c r="AH22" i="1" s="1"/>
  <c r="BJ22" i="1" s="1"/>
  <c r="B21" i="21" s="1"/>
  <c r="AF26" i="1"/>
  <c r="AF20" i="1"/>
  <c r="AF14" i="1"/>
  <c r="AH14" i="1" s="1"/>
  <c r="BJ14" i="1" s="1"/>
  <c r="B13" i="21" s="1"/>
  <c r="AF24" i="1"/>
  <c r="AH24" i="1" s="1"/>
  <c r="BJ24" i="1" s="1"/>
  <c r="B23" i="21" s="1"/>
  <c r="AF12" i="1"/>
  <c r="AG12" i="1" s="1"/>
  <c r="BI12" i="1" s="1"/>
  <c r="A11" i="21" s="1"/>
  <c r="AF27" i="1"/>
  <c r="AJ27" i="1" s="1"/>
  <c r="AF23" i="1"/>
  <c r="AF21" i="1"/>
  <c r="AJ21" i="1" s="1"/>
  <c r="AF15" i="1"/>
  <c r="AJ15" i="1" s="1"/>
  <c r="AF11" i="1"/>
  <c r="BK16" i="21" l="1"/>
  <c r="BF11" i="21"/>
  <c r="AH11" i="21"/>
  <c r="AH8" i="21"/>
  <c r="BF8" i="21"/>
  <c r="AH24" i="21"/>
  <c r="BF24" i="21"/>
  <c r="BK13" i="1"/>
  <c r="C12" i="21" s="1"/>
  <c r="BK12" i="21" s="1"/>
  <c r="BK9" i="1"/>
  <c r="C8" i="21" s="1"/>
  <c r="Z8" i="21" s="1"/>
  <c r="AH7" i="21"/>
  <c r="BF7" i="21"/>
  <c r="AH12" i="21"/>
  <c r="BF12" i="21"/>
  <c r="BF29" i="21"/>
  <c r="AH29" i="21"/>
  <c r="BK25" i="1"/>
  <c r="C24" i="21" s="1"/>
  <c r="Z24" i="21" s="1"/>
  <c r="BK19" i="1"/>
  <c r="C18" i="21" s="1"/>
  <c r="Z18" i="21" s="1"/>
  <c r="AH16" i="21"/>
  <c r="BF16" i="21"/>
  <c r="AH9" i="21"/>
  <c r="BF9" i="21"/>
  <c r="BK10" i="1"/>
  <c r="C9" i="21" s="1"/>
  <c r="Z9" i="21" s="1"/>
  <c r="AH18" i="21"/>
  <c r="BF18" i="21"/>
  <c r="BK30" i="1"/>
  <c r="C29" i="21" s="1"/>
  <c r="Z29" i="21" s="1"/>
  <c r="AH28" i="21"/>
  <c r="BF28" i="21"/>
  <c r="BK29" i="1"/>
  <c r="C28" i="21" s="1"/>
  <c r="BK28" i="21" s="1"/>
  <c r="CG6" i="21"/>
  <c r="CF6" i="21"/>
  <c r="CF7" i="21"/>
  <c r="CG7" i="21"/>
  <c r="CF9" i="21"/>
  <c r="CG9" i="21"/>
  <c r="CF11" i="21"/>
  <c r="CG11" i="21"/>
  <c r="CF13" i="21"/>
  <c r="CG13" i="21"/>
  <c r="CF15" i="21"/>
  <c r="CG15" i="21"/>
  <c r="CF17" i="21"/>
  <c r="CG17" i="21"/>
  <c r="CF19" i="21"/>
  <c r="CG19" i="21"/>
  <c r="CF21" i="21"/>
  <c r="CG21" i="21"/>
  <c r="CF23" i="21"/>
  <c r="CG23" i="21"/>
  <c r="CF25" i="21"/>
  <c r="CG25" i="21"/>
  <c r="CF27" i="21"/>
  <c r="CG27" i="21"/>
  <c r="CF29" i="21"/>
  <c r="CG29" i="21"/>
  <c r="CG8" i="21"/>
  <c r="CF8" i="21"/>
  <c r="CG10" i="21"/>
  <c r="CF10" i="21"/>
  <c r="CF12" i="21"/>
  <c r="CG12" i="21"/>
  <c r="CF14" i="21"/>
  <c r="CG14" i="21"/>
  <c r="CF16" i="21"/>
  <c r="CG16" i="21"/>
  <c r="CF18" i="21"/>
  <c r="CG18" i="21"/>
  <c r="CF20" i="21"/>
  <c r="CG20" i="21"/>
  <c r="CF22" i="21"/>
  <c r="CG22" i="21"/>
  <c r="CF24" i="21"/>
  <c r="CG24" i="21"/>
  <c r="CF26" i="21"/>
  <c r="CG26" i="21"/>
  <c r="CF28" i="21"/>
  <c r="CG28" i="21"/>
  <c r="BI6" i="21"/>
  <c r="CK11" i="21"/>
  <c r="CK14" i="21"/>
  <c r="CK19" i="21"/>
  <c r="CK22" i="21"/>
  <c r="CK27" i="21"/>
  <c r="CK16" i="21"/>
  <c r="CK24" i="21"/>
  <c r="CK9" i="21"/>
  <c r="CK12" i="21"/>
  <c r="CK17" i="21"/>
  <c r="CK20" i="21"/>
  <c r="CK25" i="21"/>
  <c r="CK7" i="21"/>
  <c r="CK13" i="21"/>
  <c r="CK10" i="21"/>
  <c r="CK15" i="21"/>
  <c r="CK18" i="21"/>
  <c r="CK23" i="21"/>
  <c r="CK26" i="21"/>
  <c r="CK8" i="21"/>
  <c r="CD6" i="21"/>
  <c r="CK21" i="21"/>
  <c r="BK24" i="21"/>
  <c r="BK8" i="21"/>
  <c r="AH28" i="1"/>
  <c r="BJ28" i="1" s="1"/>
  <c r="B27" i="21" s="1"/>
  <c r="AH21" i="1"/>
  <c r="BJ21" i="1" s="1"/>
  <c r="B20" i="21" s="1"/>
  <c r="Z27" i="21"/>
  <c r="BK27" i="21"/>
  <c r="AJ18" i="1"/>
  <c r="AG28" i="1"/>
  <c r="BI28" i="1" s="1"/>
  <c r="A27" i="21" s="1"/>
  <c r="AI15" i="1"/>
  <c r="BK15" i="1" s="1"/>
  <c r="C14" i="21" s="1"/>
  <c r="AG22" i="1"/>
  <c r="BI22" i="1" s="1"/>
  <c r="A21" i="21" s="1"/>
  <c r="AH15" i="1"/>
  <c r="BJ15" i="1" s="1"/>
  <c r="B14" i="21" s="1"/>
  <c r="AG27" i="1"/>
  <c r="BI27" i="1" s="1"/>
  <c r="A26" i="21" s="1"/>
  <c r="AI24" i="1"/>
  <c r="BK24" i="1" s="1"/>
  <c r="C23" i="21" s="1"/>
  <c r="AG7" i="1"/>
  <c r="BI7" i="1" s="1"/>
  <c r="A6" i="21" s="1"/>
  <c r="AI22" i="1"/>
  <c r="BK22" i="1" s="1"/>
  <c r="C21" i="21" s="1"/>
  <c r="BK15" i="21"/>
  <c r="Z15" i="21"/>
  <c r="AG20" i="1"/>
  <c r="BI20" i="1" s="1"/>
  <c r="A19" i="21" s="1"/>
  <c r="AI20" i="1"/>
  <c r="BK20" i="1" s="1"/>
  <c r="C19" i="21" s="1"/>
  <c r="AG26" i="1"/>
  <c r="BI26" i="1" s="1"/>
  <c r="A25" i="21" s="1"/>
  <c r="AI26" i="1"/>
  <c r="BK26" i="1" s="1"/>
  <c r="C25" i="21" s="1"/>
  <c r="AJ16" i="1"/>
  <c r="AI7" i="1"/>
  <c r="BK7" i="1" s="1"/>
  <c r="C6" i="21" s="1"/>
  <c r="AJ11" i="1"/>
  <c r="AI11" i="1"/>
  <c r="BK11" i="1" s="1"/>
  <c r="C10" i="21" s="1"/>
  <c r="AJ23" i="1"/>
  <c r="AI23" i="1"/>
  <c r="BK23" i="1" s="1"/>
  <c r="C22" i="21" s="1"/>
  <c r="AH26" i="1"/>
  <c r="BJ26" i="1" s="1"/>
  <c r="B25" i="21" s="1"/>
  <c r="AI12" i="1"/>
  <c r="BK12" i="1" s="1"/>
  <c r="C11" i="21" s="1"/>
  <c r="AI21" i="1"/>
  <c r="BK21" i="1" s="1"/>
  <c r="C20" i="21" s="1"/>
  <c r="AG16" i="1"/>
  <c r="BI16" i="1" s="1"/>
  <c r="A15" i="21" s="1"/>
  <c r="AH7" i="1"/>
  <c r="BJ7" i="1" s="1"/>
  <c r="B6" i="21" s="1"/>
  <c r="AG14" i="1"/>
  <c r="BI14" i="1" s="1"/>
  <c r="A13" i="21" s="1"/>
  <c r="AI14" i="1"/>
  <c r="BK14" i="1" s="1"/>
  <c r="C13" i="21" s="1"/>
  <c r="AG18" i="1"/>
  <c r="BI18" i="1" s="1"/>
  <c r="A17" i="21" s="1"/>
  <c r="AI18" i="1"/>
  <c r="BK18" i="1" s="1"/>
  <c r="C17" i="21" s="1"/>
  <c r="AH16" i="1"/>
  <c r="BJ16" i="1" s="1"/>
  <c r="B15" i="21" s="1"/>
  <c r="AJ22" i="1"/>
  <c r="AH27" i="1"/>
  <c r="BJ27" i="1" s="1"/>
  <c r="B26" i="21" s="1"/>
  <c r="AG11" i="1"/>
  <c r="BI11" i="1" s="1"/>
  <c r="A10" i="21" s="1"/>
  <c r="AI27" i="1"/>
  <c r="BK27" i="1" s="1"/>
  <c r="C26" i="21" s="1"/>
  <c r="AG15" i="1"/>
  <c r="BI15" i="1" s="1"/>
  <c r="A14" i="21" s="1"/>
  <c r="AH12" i="1"/>
  <c r="BJ12" i="1" s="1"/>
  <c r="B11" i="21" s="1"/>
  <c r="AJ12" i="1"/>
  <c r="AJ24" i="1"/>
  <c r="AG24" i="1"/>
  <c r="BI24" i="1" s="1"/>
  <c r="A23" i="21" s="1"/>
  <c r="AH11" i="1"/>
  <c r="BJ11" i="1" s="1"/>
  <c r="B10" i="21" s="1"/>
  <c r="AH23" i="1"/>
  <c r="BJ23" i="1" s="1"/>
  <c r="B22" i="21" s="1"/>
  <c r="AG23" i="1"/>
  <c r="BI23" i="1" s="1"/>
  <c r="A22" i="21" s="1"/>
  <c r="AH20" i="1"/>
  <c r="BJ20" i="1" s="1"/>
  <c r="B19" i="21" s="1"/>
  <c r="AJ14" i="1"/>
  <c r="AJ20" i="1"/>
  <c r="AJ26" i="1"/>
  <c r="AG21" i="1"/>
  <c r="BI21" i="1" s="1"/>
  <c r="A20" i="21" s="1"/>
  <c r="Z12" i="21" l="1"/>
  <c r="Z28" i="21"/>
  <c r="BK29" i="21"/>
  <c r="BK18" i="21"/>
  <c r="AH17" i="21"/>
  <c r="BF17" i="21"/>
  <c r="AH15" i="21"/>
  <c r="BF15" i="21"/>
  <c r="BF25" i="21"/>
  <c r="AH25" i="21"/>
  <c r="AH26" i="21"/>
  <c r="BF26" i="21"/>
  <c r="BF27" i="21"/>
  <c r="AH27" i="21"/>
  <c r="AH23" i="21"/>
  <c r="BF23" i="21"/>
  <c r="AH14" i="21"/>
  <c r="BF14" i="21"/>
  <c r="AH20" i="21"/>
  <c r="BF20" i="21"/>
  <c r="AH22" i="21"/>
  <c r="BF22" i="21"/>
  <c r="AH13" i="21"/>
  <c r="BF13" i="21"/>
  <c r="BF19" i="21"/>
  <c r="AH19" i="21"/>
  <c r="BF6" i="21"/>
  <c r="AH6" i="21"/>
  <c r="BF21" i="21"/>
  <c r="AH21" i="21"/>
  <c r="AH10" i="21"/>
  <c r="BF10" i="21"/>
  <c r="BK9" i="21"/>
  <c r="CL10" i="21"/>
  <c r="CR10" i="21" s="1"/>
  <c r="E8" i="16" s="1"/>
  <c r="CL19" i="21"/>
  <c r="DI19" i="21" s="1"/>
  <c r="V17" i="16" s="1"/>
  <c r="CL23" i="21"/>
  <c r="DI23" i="21" s="1"/>
  <c r="V21" i="16" s="1"/>
  <c r="V72" i="16" s="1"/>
  <c r="CL13" i="21"/>
  <c r="CQ13" i="21" s="1"/>
  <c r="D11" i="16" s="1"/>
  <c r="CR13" i="21"/>
  <c r="E11" i="16" s="1"/>
  <c r="CL17" i="21"/>
  <c r="DI17" i="21" s="1"/>
  <c r="V15" i="16" s="1"/>
  <c r="CL16" i="21"/>
  <c r="CX16" i="21" s="1"/>
  <c r="K14" i="16" s="1"/>
  <c r="CL14" i="21"/>
  <c r="DI14" i="21" s="1"/>
  <c r="V12" i="16" s="1"/>
  <c r="CL26" i="21"/>
  <c r="CQ26" i="21" s="1"/>
  <c r="D24" i="16" s="1"/>
  <c r="D78" i="16" s="1"/>
  <c r="CL24" i="21"/>
  <c r="DI24" i="21" s="1"/>
  <c r="V22" i="16" s="1"/>
  <c r="V74" i="16" s="1"/>
  <c r="CL18" i="21"/>
  <c r="CL12" i="21"/>
  <c r="DI12" i="21" s="1"/>
  <c r="V10" i="16" s="1"/>
  <c r="DI27" i="21"/>
  <c r="V25" i="16" s="1"/>
  <c r="V79" i="16" s="1"/>
  <c r="V45" i="24" s="1"/>
  <c r="V45" i="25" s="1"/>
  <c r="CQ27" i="21"/>
  <c r="D25" i="16" s="1"/>
  <c r="D79" i="16" s="1"/>
  <c r="D45" i="24" s="1"/>
  <c r="D45" i="25" s="1"/>
  <c r="CX27" i="21"/>
  <c r="K25" i="16" s="1"/>
  <c r="K79" i="16" s="1"/>
  <c r="K45" i="24" s="1"/>
  <c r="K45" i="25" s="1"/>
  <c r="CR27" i="21"/>
  <c r="E25" i="16" s="1"/>
  <c r="E79" i="16" s="1"/>
  <c r="E45" i="24" s="1"/>
  <c r="E45" i="25" s="1"/>
  <c r="CL11" i="21"/>
  <c r="DI11" i="21" s="1"/>
  <c r="V9" i="16" s="1"/>
  <c r="CL20" i="21"/>
  <c r="CX20" i="21" s="1"/>
  <c r="K18" i="16" s="1"/>
  <c r="CL21" i="21"/>
  <c r="DI21" i="21" s="1"/>
  <c r="V19" i="16" s="1"/>
  <c r="CL15" i="21"/>
  <c r="DI15" i="21" s="1"/>
  <c r="V13" i="16" s="1"/>
  <c r="CL25" i="21"/>
  <c r="CQ25" i="21" s="1"/>
  <c r="D23" i="16" s="1"/>
  <c r="D76" i="16" s="1"/>
  <c r="CL9" i="21"/>
  <c r="CX9" i="21" s="1"/>
  <c r="K7" i="16" s="1"/>
  <c r="CL22" i="21"/>
  <c r="DI22" i="21" s="1"/>
  <c r="V20" i="16" s="1"/>
  <c r="Z21" i="21"/>
  <c r="BK21" i="21"/>
  <c r="Z23" i="21"/>
  <c r="BK23" i="21"/>
  <c r="Z14" i="21"/>
  <c r="BK14" i="21"/>
  <c r="Z26" i="21"/>
  <c r="BK26" i="21"/>
  <c r="Z22" i="21"/>
  <c r="BK22" i="21"/>
  <c r="BK25" i="21"/>
  <c r="Z25" i="21"/>
  <c r="Z13" i="21"/>
  <c r="BK13" i="21"/>
  <c r="Z20" i="21"/>
  <c r="BK20" i="21"/>
  <c r="CL8" i="21"/>
  <c r="DI8" i="21" s="1"/>
  <c r="V6" i="16" s="1"/>
  <c r="Z11" i="21"/>
  <c r="BK11" i="21"/>
  <c r="Z10" i="21"/>
  <c r="BK10" i="21"/>
  <c r="Z6" i="21"/>
  <c r="BK6" i="21"/>
  <c r="BI7" i="21" s="1"/>
  <c r="BI8" i="21" s="1"/>
  <c r="BI9" i="21" s="1"/>
  <c r="BK17" i="21"/>
  <c r="Z17" i="21"/>
  <c r="CL7" i="21"/>
  <c r="CR7" i="21" s="1"/>
  <c r="E5" i="16" s="1"/>
  <c r="BK19" i="21"/>
  <c r="Z19" i="21"/>
  <c r="BY28" i="21"/>
  <c r="BY29" i="21"/>
  <c r="DD27" i="21" s="1"/>
  <c r="Q25" i="16" s="1"/>
  <c r="Q79" i="16" s="1"/>
  <c r="Q45" i="24" s="1"/>
  <c r="Q45" i="25" s="1"/>
  <c r="BY27" i="21"/>
  <c r="CP18" i="21" l="1"/>
  <c r="CP10" i="21"/>
  <c r="CP16" i="21"/>
  <c r="CP15" i="21"/>
  <c r="AL45" i="1" s="1"/>
  <c r="CP11" i="21"/>
  <c r="CP21" i="21"/>
  <c r="CP17" i="21"/>
  <c r="AL47" i="1" s="1"/>
  <c r="CP8" i="21"/>
  <c r="AL38" i="1" s="1"/>
  <c r="CP12" i="21"/>
  <c r="CP19" i="21"/>
  <c r="CP23" i="21"/>
  <c r="CP9" i="21"/>
  <c r="C7" i="16" s="1"/>
  <c r="CP22" i="21"/>
  <c r="CP13" i="21"/>
  <c r="CP7" i="21"/>
  <c r="CP14" i="21"/>
  <c r="CP20" i="21"/>
  <c r="AL50" i="1" s="1"/>
  <c r="DI25" i="21"/>
  <c r="V23" i="16" s="1"/>
  <c r="V76" i="16" s="1"/>
  <c r="V42" i="24" s="1"/>
  <c r="V42" i="25" s="1"/>
  <c r="CR16" i="21"/>
  <c r="E14" i="16" s="1"/>
  <c r="CR23" i="21"/>
  <c r="E21" i="16" s="1"/>
  <c r="E72" i="16" s="1"/>
  <c r="E71" i="16" s="1"/>
  <c r="E37" i="24" s="1"/>
  <c r="E37" i="25" s="1"/>
  <c r="CQ23" i="21"/>
  <c r="D21" i="16" s="1"/>
  <c r="D72" i="16" s="1"/>
  <c r="D71" i="16" s="1"/>
  <c r="D37" i="24" s="1"/>
  <c r="D37" i="25" s="1"/>
  <c r="CX10" i="21"/>
  <c r="K8" i="16" s="1"/>
  <c r="DI10" i="21"/>
  <c r="V8" i="16" s="1"/>
  <c r="CQ10" i="21"/>
  <c r="D8" i="16" s="1"/>
  <c r="CR17" i="21"/>
  <c r="E15" i="16" s="1"/>
  <c r="CX19" i="21"/>
  <c r="K17" i="16" s="1"/>
  <c r="CR11" i="21"/>
  <c r="E9" i="16" s="1"/>
  <c r="CX12" i="21"/>
  <c r="K10" i="16" s="1"/>
  <c r="CX17" i="21"/>
  <c r="K15" i="16" s="1"/>
  <c r="CR19" i="21"/>
  <c r="E17" i="16" s="1"/>
  <c r="CX25" i="21"/>
  <c r="K23" i="16" s="1"/>
  <c r="K76" i="16" s="1"/>
  <c r="K42" i="24" s="1"/>
  <c r="K42" i="25" s="1"/>
  <c r="CQ17" i="21"/>
  <c r="D15" i="16" s="1"/>
  <c r="CX13" i="21"/>
  <c r="K11" i="16" s="1"/>
  <c r="CQ19" i="21"/>
  <c r="D17" i="16" s="1"/>
  <c r="DI13" i="21"/>
  <c r="V11" i="16" s="1"/>
  <c r="AL39" i="1"/>
  <c r="AL49" i="1"/>
  <c r="DI9" i="21"/>
  <c r="V7" i="16" s="1"/>
  <c r="CR25" i="21"/>
  <c r="E23" i="16" s="1"/>
  <c r="E76" i="16" s="1"/>
  <c r="E42" i="24" s="1"/>
  <c r="E42" i="25" s="1"/>
  <c r="CR15" i="21"/>
  <c r="E13" i="16" s="1"/>
  <c r="CX22" i="21"/>
  <c r="K20" i="16" s="1"/>
  <c r="CR9" i="21"/>
  <c r="E7" i="16" s="1"/>
  <c r="CX15" i="21"/>
  <c r="K13" i="16" s="1"/>
  <c r="CR21" i="21"/>
  <c r="E19" i="16" s="1"/>
  <c r="AL48" i="1"/>
  <c r="CX26" i="21"/>
  <c r="K24" i="16" s="1"/>
  <c r="K78" i="16" s="1"/>
  <c r="K77" i="16" s="1"/>
  <c r="K43" i="24" s="1"/>
  <c r="K43" i="25" s="1"/>
  <c r="CX23" i="21"/>
  <c r="K21" i="16" s="1"/>
  <c r="K72" i="16" s="1"/>
  <c r="K38" i="24" s="1"/>
  <c r="K38" i="25" s="1"/>
  <c r="CR24" i="21"/>
  <c r="E22" i="16" s="1"/>
  <c r="E74" i="16" s="1"/>
  <c r="E73" i="16" s="1"/>
  <c r="E39" i="24" s="1"/>
  <c r="E39" i="25" s="1"/>
  <c r="AL54" i="1"/>
  <c r="AL55" i="1"/>
  <c r="C23" i="16"/>
  <c r="C76" i="16" s="1"/>
  <c r="D77" i="16"/>
  <c r="D43" i="24" s="1"/>
  <c r="D43" i="25" s="1"/>
  <c r="D44" i="24"/>
  <c r="D44" i="25" s="1"/>
  <c r="V73" i="16"/>
  <c r="V39" i="24" s="1"/>
  <c r="V39" i="25" s="1"/>
  <c r="V40" i="24"/>
  <c r="V40" i="25" s="1"/>
  <c r="DI7" i="21"/>
  <c r="V5" i="16" s="1"/>
  <c r="CX18" i="21"/>
  <c r="K16" i="16" s="1"/>
  <c r="AL43" i="1"/>
  <c r="C11" i="16"/>
  <c r="D75" i="16"/>
  <c r="D41" i="24" s="1"/>
  <c r="D41" i="25" s="1"/>
  <c r="D42" i="24"/>
  <c r="D42" i="25" s="1"/>
  <c r="CX8" i="21"/>
  <c r="K6" i="16" s="1"/>
  <c r="CQ21" i="21"/>
  <c r="D19" i="16" s="1"/>
  <c r="CQ20" i="21"/>
  <c r="D18" i="16" s="1"/>
  <c r="CQ11" i="21"/>
  <c r="D9" i="16" s="1"/>
  <c r="CQ7" i="21"/>
  <c r="D5" i="16" s="1"/>
  <c r="CR18" i="21"/>
  <c r="E16" i="16" s="1"/>
  <c r="DI18" i="21"/>
  <c r="V16" i="16" s="1"/>
  <c r="CQ24" i="21"/>
  <c r="D22" i="16" s="1"/>
  <c r="D74" i="16" s="1"/>
  <c r="CR26" i="21"/>
  <c r="E24" i="16" s="1"/>
  <c r="E78" i="16" s="1"/>
  <c r="DI26" i="21"/>
  <c r="V24" i="16" s="1"/>
  <c r="V78" i="16" s="1"/>
  <c r="CQ14" i="21"/>
  <c r="D12" i="16" s="1"/>
  <c r="DI16" i="21"/>
  <c r="V14" i="16" s="1"/>
  <c r="AL57" i="1"/>
  <c r="C25" i="16"/>
  <c r="C79" i="16" s="1"/>
  <c r="C45" i="24" s="1"/>
  <c r="C45" i="25" s="1"/>
  <c r="AL56" i="1"/>
  <c r="C24" i="16"/>
  <c r="C78" i="16" s="1"/>
  <c r="CR22" i="21"/>
  <c r="E20" i="16" s="1"/>
  <c r="CQ22" i="21"/>
  <c r="D20" i="16" s="1"/>
  <c r="CQ9" i="21"/>
  <c r="D7" i="16" s="1"/>
  <c r="K75" i="16"/>
  <c r="K41" i="24" s="1"/>
  <c r="K41" i="25" s="1"/>
  <c r="V75" i="16"/>
  <c r="V41" i="24" s="1"/>
  <c r="V41" i="25" s="1"/>
  <c r="CQ15" i="21"/>
  <c r="D13" i="16" s="1"/>
  <c r="CQ8" i="21"/>
  <c r="D6" i="16" s="1"/>
  <c r="CR8" i="21"/>
  <c r="E6" i="16" s="1"/>
  <c r="CX21" i="21"/>
  <c r="K19" i="16" s="1"/>
  <c r="CR20" i="21"/>
  <c r="E18" i="16" s="1"/>
  <c r="DI20" i="21"/>
  <c r="V18" i="16" s="1"/>
  <c r="CR14" i="21"/>
  <c r="E12" i="16" s="1"/>
  <c r="CX14" i="21"/>
  <c r="K12" i="16" s="1"/>
  <c r="CQ16" i="21"/>
  <c r="D14" i="16" s="1"/>
  <c r="V71" i="16"/>
  <c r="V37" i="24" s="1"/>
  <c r="V37" i="25" s="1"/>
  <c r="V38" i="24"/>
  <c r="V38" i="25" s="1"/>
  <c r="AL40" i="1"/>
  <c r="C8" i="16"/>
  <c r="CQ12" i="21"/>
  <c r="D10" i="16" s="1"/>
  <c r="CX7" i="21"/>
  <c r="K5" i="16" s="1"/>
  <c r="CQ18" i="21"/>
  <c r="D16" i="16" s="1"/>
  <c r="BI10" i="21"/>
  <c r="BI11" i="21" s="1"/>
  <c r="BI12" i="21" s="1"/>
  <c r="BI13" i="21" s="1"/>
  <c r="BI14" i="21" s="1"/>
  <c r="BI15" i="21" s="1"/>
  <c r="BI16" i="21" s="1"/>
  <c r="BI17" i="21" s="1"/>
  <c r="BI18" i="21" s="1"/>
  <c r="BI19" i="21" s="1"/>
  <c r="BI20" i="21" s="1"/>
  <c r="BI21" i="21" s="1"/>
  <c r="BI22" i="21" s="1"/>
  <c r="BI23" i="21" s="1"/>
  <c r="BI24" i="21" s="1"/>
  <c r="BI25" i="21" s="1"/>
  <c r="BI26" i="21" s="1"/>
  <c r="BI27" i="21" s="1"/>
  <c r="BI28" i="21" s="1"/>
  <c r="BI29" i="21" s="1"/>
  <c r="CX11" i="21"/>
  <c r="K9" i="16" s="1"/>
  <c r="CR12" i="21"/>
  <c r="E10" i="16" s="1"/>
  <c r="CX24" i="21"/>
  <c r="K22" i="16" s="1"/>
  <c r="K74" i="16" s="1"/>
  <c r="BQ56" i="24"/>
  <c r="BQ59" i="24"/>
  <c r="BQ61" i="24"/>
  <c r="BQ58" i="24"/>
  <c r="E38" i="24" l="1"/>
  <c r="E38" i="25" s="1"/>
  <c r="E40" i="24"/>
  <c r="E40" i="25" s="1"/>
  <c r="C13" i="16"/>
  <c r="D38" i="24"/>
  <c r="D38" i="25" s="1"/>
  <c r="K44" i="24"/>
  <c r="K44" i="25" s="1"/>
  <c r="C15" i="16"/>
  <c r="C22" i="16"/>
  <c r="C74" i="16" s="1"/>
  <c r="C73" i="16" s="1"/>
  <c r="C39" i="24" s="1"/>
  <c r="C39" i="25" s="1"/>
  <c r="E75" i="16"/>
  <c r="E41" i="24" s="1"/>
  <c r="E41" i="25" s="1"/>
  <c r="C6" i="16"/>
  <c r="K71" i="16"/>
  <c r="K37" i="24" s="1"/>
  <c r="K37" i="25" s="1"/>
  <c r="C18" i="16"/>
  <c r="C17" i="16"/>
  <c r="C16" i="16"/>
  <c r="AL37" i="1"/>
  <c r="C5" i="16"/>
  <c r="AL41" i="1"/>
  <c r="C9" i="16"/>
  <c r="AL53" i="1"/>
  <c r="C21" i="16"/>
  <c r="C72" i="16" s="1"/>
  <c r="V77" i="16"/>
  <c r="V43" i="24" s="1"/>
  <c r="V43" i="25" s="1"/>
  <c r="V44" i="24"/>
  <c r="V44" i="25" s="1"/>
  <c r="AL51" i="1"/>
  <c r="C19" i="16"/>
  <c r="C75" i="16"/>
  <c r="C41" i="24" s="1"/>
  <c r="C41" i="25" s="1"/>
  <c r="C42" i="24"/>
  <c r="C42" i="25" s="1"/>
  <c r="AL52" i="1"/>
  <c r="C20" i="16"/>
  <c r="E77" i="16"/>
  <c r="E43" i="24" s="1"/>
  <c r="E43" i="25" s="1"/>
  <c r="E44" i="24"/>
  <c r="E44" i="25" s="1"/>
  <c r="AL44" i="1"/>
  <c r="C12" i="16"/>
  <c r="K73" i="16"/>
  <c r="K39" i="24" s="1"/>
  <c r="K39" i="25" s="1"/>
  <c r="K40" i="24"/>
  <c r="K40" i="25" s="1"/>
  <c r="C77" i="16"/>
  <c r="C43" i="24" s="1"/>
  <c r="C43" i="25" s="1"/>
  <c r="C44" i="24"/>
  <c r="C44" i="25" s="1"/>
  <c r="AL46" i="1"/>
  <c r="C14" i="16"/>
  <c r="D73" i="16"/>
  <c r="D39" i="24" s="1"/>
  <c r="D39" i="25" s="1"/>
  <c r="D40" i="24"/>
  <c r="D40" i="25" s="1"/>
  <c r="AL42" i="1"/>
  <c r="C10" i="16"/>
  <c r="BQ55" i="24"/>
  <c r="BQ60" i="24"/>
  <c r="BQ57" i="24"/>
  <c r="C40" i="24" l="1"/>
  <c r="C40" i="25" s="1"/>
  <c r="C71" i="16"/>
  <c r="C37" i="24" s="1"/>
  <c r="C37" i="25" s="1"/>
  <c r="C38" i="24"/>
  <c r="C38" i="25" s="1"/>
  <c r="A3" i="25"/>
  <c r="W3" i="24"/>
  <c r="X3" i="24"/>
  <c r="Y3" i="24"/>
  <c r="Z3" i="24"/>
  <c r="AA3" i="24"/>
  <c r="AB3" i="24"/>
  <c r="AC3" i="24"/>
  <c r="AD3" i="24"/>
  <c r="AE3" i="24"/>
  <c r="AF3" i="24"/>
  <c r="B38" i="16"/>
  <c r="B4" i="24" s="1"/>
  <c r="B4" i="25" s="1"/>
  <c r="B40" i="16"/>
  <c r="B6" i="24" s="1"/>
  <c r="B6" i="25" s="1"/>
  <c r="B42" i="16"/>
  <c r="B8" i="24" s="1"/>
  <c r="B8" i="25" s="1"/>
  <c r="B44" i="16"/>
  <c r="B10" i="24" s="1"/>
  <c r="B10" i="25" s="1"/>
  <c r="B46" i="16"/>
  <c r="B12" i="24" s="1"/>
  <c r="B12" i="25" s="1"/>
  <c r="A40" i="16"/>
  <c r="A6" i="24" s="1"/>
  <c r="A6" i="25" s="1"/>
  <c r="A42" i="16"/>
  <c r="A8" i="24" s="1"/>
  <c r="A8" i="25" s="1"/>
  <c r="BY9" i="21"/>
  <c r="BY10" i="21"/>
  <c r="BY13" i="21"/>
  <c r="BY14" i="21"/>
  <c r="BY17" i="21"/>
  <c r="BY19" i="21"/>
  <c r="BY20" i="21"/>
  <c r="DD19" i="21" s="1"/>
  <c r="Q17" i="16" s="1"/>
  <c r="BY22" i="21"/>
  <c r="BY25" i="21"/>
  <c r="BY26" i="21"/>
  <c r="DD15" i="21" l="1"/>
  <c r="Q13" i="16" s="1"/>
  <c r="DD23" i="21"/>
  <c r="Q21" i="16" s="1"/>
  <c r="Q72" i="16" s="1"/>
  <c r="DD25" i="21"/>
  <c r="Q23" i="16" s="1"/>
  <c r="Q76" i="16" s="1"/>
  <c r="DD26" i="21"/>
  <c r="Q24" i="16" s="1"/>
  <c r="Q78" i="16" s="1"/>
  <c r="DD24" i="21"/>
  <c r="Q22" i="16" s="1"/>
  <c r="Q74" i="16" s="1"/>
  <c r="DD10" i="21"/>
  <c r="Q8" i="16" s="1"/>
  <c r="DD11" i="21"/>
  <c r="Q9" i="16" s="1"/>
  <c r="B39" i="16"/>
  <c r="B5" i="24" s="1"/>
  <c r="B5" i="25" s="1"/>
  <c r="B45" i="16"/>
  <c r="B11" i="24" s="1"/>
  <c r="B11" i="25" s="1"/>
  <c r="B41" i="16"/>
  <c r="B7" i="24" s="1"/>
  <c r="B7" i="25" s="1"/>
  <c r="BQ49" i="24"/>
  <c r="BQ47" i="24"/>
  <c r="BG24" i="21"/>
  <c r="BQ4" i="24"/>
  <c r="B43" i="16"/>
  <c r="B9" i="24" s="1"/>
  <c r="B9" i="25" s="1"/>
  <c r="BY15" i="21"/>
  <c r="DD16" i="21" s="1"/>
  <c r="Q14" i="16" s="1"/>
  <c r="BY24" i="21"/>
  <c r="BY23" i="21"/>
  <c r="DD22" i="21" s="1"/>
  <c r="Q20" i="16" s="1"/>
  <c r="BY18" i="21"/>
  <c r="DD18" i="21" s="1"/>
  <c r="Q16" i="16" s="1"/>
  <c r="BY16" i="21"/>
  <c r="DD17" i="21" s="1"/>
  <c r="Q15" i="16" s="1"/>
  <c r="BY11" i="21"/>
  <c r="DD12" i="21" s="1"/>
  <c r="Q10" i="16" s="1"/>
  <c r="BY8" i="21"/>
  <c r="BY7" i="21"/>
  <c r="BY21" i="21"/>
  <c r="DD20" i="21" s="1"/>
  <c r="Q18" i="16" s="1"/>
  <c r="BY12" i="21"/>
  <c r="DD13" i="21" s="1"/>
  <c r="Q11" i="16" s="1"/>
  <c r="BY6" i="21"/>
  <c r="B70" i="16"/>
  <c r="B36" i="24" s="1"/>
  <c r="B36" i="25" s="1"/>
  <c r="A70" i="16"/>
  <c r="A36" i="24" s="1"/>
  <c r="A36" i="25" s="1"/>
  <c r="B68" i="16"/>
  <c r="B34" i="24" s="1"/>
  <c r="B34" i="25" s="1"/>
  <c r="A68" i="16"/>
  <c r="A34" i="24" s="1"/>
  <c r="A34" i="25" s="1"/>
  <c r="B66" i="16"/>
  <c r="B32" i="24" s="1"/>
  <c r="B32" i="25" s="1"/>
  <c r="A66" i="16"/>
  <c r="A32" i="24" s="1"/>
  <c r="A32" i="25" s="1"/>
  <c r="B64" i="16"/>
  <c r="B30" i="24" s="1"/>
  <c r="B30" i="25" s="1"/>
  <c r="A64" i="16"/>
  <c r="A30" i="24" s="1"/>
  <c r="A30" i="25" s="1"/>
  <c r="B62" i="16"/>
  <c r="B28" i="24" s="1"/>
  <c r="B28" i="25" s="1"/>
  <c r="A62" i="16"/>
  <c r="A28" i="24" s="1"/>
  <c r="A28" i="25" s="1"/>
  <c r="B60" i="16"/>
  <c r="B26" i="24" s="1"/>
  <c r="B26" i="25" s="1"/>
  <c r="A60" i="16"/>
  <c r="A26" i="24" s="1"/>
  <c r="A26" i="25" s="1"/>
  <c r="B58" i="16"/>
  <c r="B24" i="24" s="1"/>
  <c r="B24" i="25" s="1"/>
  <c r="A58" i="16"/>
  <c r="A24" i="24" s="1"/>
  <c r="A24" i="25" s="1"/>
  <c r="B56" i="16"/>
  <c r="B22" i="24" s="1"/>
  <c r="B22" i="25" s="1"/>
  <c r="A56" i="16"/>
  <c r="A22" i="24" s="1"/>
  <c r="A22" i="25" s="1"/>
  <c r="B54" i="16"/>
  <c r="B20" i="24" s="1"/>
  <c r="B20" i="25" s="1"/>
  <c r="A54" i="16"/>
  <c r="A20" i="24" s="1"/>
  <c r="A20" i="25" s="1"/>
  <c r="B52" i="16"/>
  <c r="B18" i="24" s="1"/>
  <c r="B18" i="25" s="1"/>
  <c r="A52" i="16"/>
  <c r="A18" i="24" s="1"/>
  <c r="A18" i="25" s="1"/>
  <c r="B50" i="16"/>
  <c r="B16" i="24" s="1"/>
  <c r="B16" i="25" s="1"/>
  <c r="A50" i="16"/>
  <c r="A16" i="24" s="1"/>
  <c r="A16" i="25" s="1"/>
  <c r="B48" i="16"/>
  <c r="B14" i="24" s="1"/>
  <c r="B14" i="25" s="1"/>
  <c r="A48" i="16"/>
  <c r="A14" i="24" s="1"/>
  <c r="A14" i="25" s="1"/>
  <c r="A46" i="16"/>
  <c r="A12" i="24" s="1"/>
  <c r="A12" i="25" s="1"/>
  <c r="A44" i="16"/>
  <c r="A10" i="24" s="1"/>
  <c r="A10" i="25" s="1"/>
  <c r="A38" i="16"/>
  <c r="A4" i="24" s="1"/>
  <c r="A4" i="25" s="1"/>
  <c r="BQ5" i="24" l="1"/>
  <c r="DD7" i="21"/>
  <c r="Q5" i="16" s="1"/>
  <c r="BQ11" i="24"/>
  <c r="DD8" i="21"/>
  <c r="Q6" i="16" s="1"/>
  <c r="Q77" i="16"/>
  <c r="Q43" i="24" s="1"/>
  <c r="Q43" i="25" s="1"/>
  <c r="Q44" i="24"/>
  <c r="Q44" i="25" s="1"/>
  <c r="DD14" i="21"/>
  <c r="Q12" i="16" s="1"/>
  <c r="Q73" i="16"/>
  <c r="Q39" i="24" s="1"/>
  <c r="Q39" i="25" s="1"/>
  <c r="Q40" i="24"/>
  <c r="Q40" i="25" s="1"/>
  <c r="Q75" i="16"/>
  <c r="Q41" i="24" s="1"/>
  <c r="Q41" i="25" s="1"/>
  <c r="Q42" i="24"/>
  <c r="Q42" i="25" s="1"/>
  <c r="DD21" i="21"/>
  <c r="Q19" i="16" s="1"/>
  <c r="Q71" i="16"/>
  <c r="Q37" i="24" s="1"/>
  <c r="Q37" i="25" s="1"/>
  <c r="Q38" i="24"/>
  <c r="Q38" i="25" s="1"/>
  <c r="DD9" i="21"/>
  <c r="Q7" i="16" s="1"/>
  <c r="BQ7" i="24"/>
  <c r="BZ24" i="21"/>
  <c r="CH24" i="21" s="1"/>
  <c r="CA24" i="21"/>
  <c r="CI24" i="21" s="1"/>
  <c r="BQ48" i="24"/>
  <c r="BQ51" i="24"/>
  <c r="BQ46" i="24"/>
  <c r="BQ52" i="24"/>
  <c r="BQ53" i="24"/>
  <c r="BQ50" i="24"/>
  <c r="BQ45" i="24"/>
  <c r="AI28" i="21"/>
  <c r="AI25" i="21"/>
  <c r="BG25" i="21"/>
  <c r="BG28" i="21"/>
  <c r="BG26" i="21"/>
  <c r="AI26" i="21"/>
  <c r="B49" i="16"/>
  <c r="B15" i="24" s="1"/>
  <c r="B15" i="25" s="1"/>
  <c r="B57" i="16"/>
  <c r="B23" i="24" s="1"/>
  <c r="B23" i="25" s="1"/>
  <c r="B65" i="16"/>
  <c r="B31" i="24" s="1"/>
  <c r="B31" i="25" s="1"/>
  <c r="B47" i="16"/>
  <c r="B13" i="24" s="1"/>
  <c r="B13" i="25" s="1"/>
  <c r="B51" i="16"/>
  <c r="B17" i="24" s="1"/>
  <c r="B17" i="25" s="1"/>
  <c r="B55" i="16"/>
  <c r="B21" i="24" s="1"/>
  <c r="B21" i="25" s="1"/>
  <c r="B59" i="16"/>
  <c r="B25" i="24" s="1"/>
  <c r="B25" i="25" s="1"/>
  <c r="B63" i="16"/>
  <c r="B29" i="24" s="1"/>
  <c r="B29" i="25" s="1"/>
  <c r="B67" i="16"/>
  <c r="B33" i="24" s="1"/>
  <c r="B33" i="25" s="1"/>
  <c r="BQ8" i="24"/>
  <c r="BQ10" i="24"/>
  <c r="BQ12" i="24"/>
  <c r="BQ9" i="24"/>
  <c r="B53" i="16"/>
  <c r="B19" i="24" s="1"/>
  <c r="B19" i="25" s="1"/>
  <c r="B61" i="16"/>
  <c r="B27" i="24" s="1"/>
  <c r="B27" i="25" s="1"/>
  <c r="B69" i="16"/>
  <c r="B35" i="24" s="1"/>
  <c r="B35" i="25" s="1"/>
  <c r="BQ6" i="24"/>
  <c r="AJ28" i="21" l="1"/>
  <c r="AV28" i="21" s="1"/>
  <c r="AN28" i="21"/>
  <c r="AK28" i="21"/>
  <c r="BO28" i="21" s="1"/>
  <c r="AO28" i="21"/>
  <c r="AL28" i="21"/>
  <c r="BD28" i="21" s="1"/>
  <c r="AM28" i="21"/>
  <c r="BC28" i="21" s="1"/>
  <c r="BZ26" i="21"/>
  <c r="CA26" i="21"/>
  <c r="CA25" i="21"/>
  <c r="CI25" i="21" s="1"/>
  <c r="BZ25" i="21"/>
  <c r="CH25" i="21" s="1"/>
  <c r="BZ28" i="21"/>
  <c r="CH28" i="21" s="1"/>
  <c r="CA28" i="21"/>
  <c r="CI28" i="21" s="1"/>
  <c r="BN28" i="21"/>
  <c r="BQ54" i="24"/>
  <c r="BQ44" i="24"/>
  <c r="BG27" i="21"/>
  <c r="AI27" i="21"/>
  <c r="AI29" i="21"/>
  <c r="BG29" i="21"/>
  <c r="AJ26" i="21"/>
  <c r="AK26" i="21"/>
  <c r="AK25" i="21"/>
  <c r="AJ25" i="21"/>
  <c r="BQ40" i="24"/>
  <c r="BQ28" i="24"/>
  <c r="BQ37" i="24"/>
  <c r="BQ29" i="24"/>
  <c r="BQ21" i="24"/>
  <c r="BQ13" i="24"/>
  <c r="BQ23" i="24"/>
  <c r="BQ35" i="24"/>
  <c r="BQ19" i="24"/>
  <c r="BQ38" i="24"/>
  <c r="BQ30" i="24"/>
  <c r="BQ22" i="24"/>
  <c r="BQ14" i="24"/>
  <c r="BQ24" i="24"/>
  <c r="BQ39" i="24"/>
  <c r="BQ27" i="24"/>
  <c r="BQ43" i="24"/>
  <c r="BQ36" i="24"/>
  <c r="BQ20" i="24"/>
  <c r="BQ42" i="24"/>
  <c r="BQ34" i="24"/>
  <c r="BQ26" i="24"/>
  <c r="BQ18" i="24"/>
  <c r="BQ32" i="24"/>
  <c r="BQ16" i="24"/>
  <c r="BQ41" i="24"/>
  <c r="BQ33" i="24"/>
  <c r="BQ25" i="24"/>
  <c r="BQ17" i="24"/>
  <c r="BQ31" i="24"/>
  <c r="BQ15" i="24"/>
  <c r="AN25" i="21"/>
  <c r="AL26" i="21"/>
  <c r="BD26" i="21" s="1"/>
  <c r="AM25" i="21"/>
  <c r="BC25" i="21" s="1"/>
  <c r="CC28" i="21" l="1"/>
  <c r="CB28" i="21"/>
  <c r="BB25" i="21"/>
  <c r="AY25" i="21"/>
  <c r="BN25" i="21"/>
  <c r="AW25" i="21"/>
  <c r="AV25" i="21"/>
  <c r="BN26" i="21"/>
  <c r="AV26" i="21"/>
  <c r="AW26" i="21"/>
  <c r="AZ28" i="21"/>
  <c r="BB28" i="21"/>
  <c r="AY28" i="21"/>
  <c r="AL29" i="21"/>
  <c r="BD29" i="21" s="1"/>
  <c r="AM29" i="21"/>
  <c r="BC29" i="21" s="1"/>
  <c r="AJ29" i="21"/>
  <c r="BN29" i="21" s="1"/>
  <c r="CS27" i="21" s="1"/>
  <c r="F25" i="16" s="1"/>
  <c r="F79" i="16" s="1"/>
  <c r="F45" i="24" s="1"/>
  <c r="F45" i="25" s="1"/>
  <c r="AN29" i="21"/>
  <c r="AK29" i="21"/>
  <c r="AU29" i="21" s="1"/>
  <c r="AO29" i="21"/>
  <c r="BA28" i="21"/>
  <c r="AX28" i="21"/>
  <c r="BO26" i="21"/>
  <c r="AU26" i="21"/>
  <c r="AW28" i="21"/>
  <c r="AU28" i="21"/>
  <c r="BO25" i="21"/>
  <c r="AU25" i="21"/>
  <c r="AO27" i="21"/>
  <c r="AK27" i="21"/>
  <c r="AU27" i="21" s="1"/>
  <c r="AN27" i="21"/>
  <c r="AJ27" i="21"/>
  <c r="AM27" i="21"/>
  <c r="BC27" i="21" s="1"/>
  <c r="AL27" i="21"/>
  <c r="BD27" i="21" s="1"/>
  <c r="DF23" i="21"/>
  <c r="S21" i="16" s="1"/>
  <c r="S72" i="16" s="1"/>
  <c r="CI26" i="21"/>
  <c r="CH26" i="21"/>
  <c r="DE23" i="21"/>
  <c r="R21" i="16" s="1"/>
  <c r="R72" i="16" s="1"/>
  <c r="BZ27" i="21"/>
  <c r="CA27" i="21"/>
  <c r="CA29" i="21"/>
  <c r="BZ29" i="21"/>
  <c r="BN27" i="21"/>
  <c r="AM26" i="21"/>
  <c r="BC26" i="21" s="1"/>
  <c r="CB26" i="21" s="1"/>
  <c r="AO25" i="21"/>
  <c r="AZ25" i="21" s="1"/>
  <c r="AL25" i="21"/>
  <c r="BD25" i="21" s="1"/>
  <c r="CB25" i="21" s="1"/>
  <c r="AN26" i="21"/>
  <c r="AO26" i="21"/>
  <c r="BO29" i="21" l="1"/>
  <c r="CT27" i="21" s="1"/>
  <c r="G25" i="16" s="1"/>
  <c r="G79" i="16" s="1"/>
  <c r="G45" i="24" s="1"/>
  <c r="G45" i="25" s="1"/>
  <c r="CC26" i="21"/>
  <c r="CC27" i="21"/>
  <c r="CB29" i="21"/>
  <c r="DG27" i="21" s="1"/>
  <c r="T25" i="16" s="1"/>
  <c r="T79" i="16" s="1"/>
  <c r="T45" i="24" s="1"/>
  <c r="T45" i="25" s="1"/>
  <c r="CC29" i="21"/>
  <c r="DH27" i="21" s="1"/>
  <c r="U25" i="16" s="1"/>
  <c r="U79" i="16" s="1"/>
  <c r="U45" i="24" s="1"/>
  <c r="U45" i="25" s="1"/>
  <c r="BO27" i="21"/>
  <c r="CT25" i="21" s="1"/>
  <c r="G23" i="16" s="1"/>
  <c r="G76" i="16" s="1"/>
  <c r="CC25" i="21"/>
  <c r="DH23" i="21" s="1"/>
  <c r="U21" i="16" s="1"/>
  <c r="U72" i="16" s="1"/>
  <c r="CB27" i="21"/>
  <c r="DG24" i="21" s="1"/>
  <c r="T22" i="16" s="1"/>
  <c r="T74" i="16" s="1"/>
  <c r="DG23" i="21"/>
  <c r="T21" i="16" s="1"/>
  <c r="T72" i="16" s="1"/>
  <c r="T71" i="16" s="1"/>
  <c r="T37" i="24" s="1"/>
  <c r="T37" i="25" s="1"/>
  <c r="BQ28" i="21"/>
  <c r="BP28" i="21"/>
  <c r="BR28" i="21"/>
  <c r="BV28" i="21"/>
  <c r="BW28" i="21"/>
  <c r="BX28" i="21"/>
  <c r="AY29" i="21"/>
  <c r="BB29" i="21"/>
  <c r="AZ29" i="21"/>
  <c r="AY26" i="21"/>
  <c r="AZ26" i="21"/>
  <c r="BB26" i="21"/>
  <c r="AX27" i="21"/>
  <c r="BA27" i="21"/>
  <c r="BU28" i="21"/>
  <c r="BT28" i="21"/>
  <c r="AV29" i="21"/>
  <c r="AW29" i="21"/>
  <c r="CS23" i="21"/>
  <c r="F21" i="16" s="1"/>
  <c r="F72" i="16" s="1"/>
  <c r="BA26" i="21"/>
  <c r="AX26" i="21"/>
  <c r="AV27" i="21"/>
  <c r="AW27" i="21"/>
  <c r="BR25" i="21"/>
  <c r="BP25" i="21"/>
  <c r="BQ25" i="21"/>
  <c r="BP26" i="21"/>
  <c r="BQ26" i="21"/>
  <c r="BR26" i="21"/>
  <c r="AX29" i="21"/>
  <c r="BA29" i="21"/>
  <c r="BA25" i="21"/>
  <c r="AX25" i="21"/>
  <c r="BB27" i="21"/>
  <c r="AZ27" i="21"/>
  <c r="AY27" i="21"/>
  <c r="CT23" i="21"/>
  <c r="G21" i="16" s="1"/>
  <c r="G72" i="16" s="1"/>
  <c r="CS24" i="21"/>
  <c r="F22" i="16" s="1"/>
  <c r="F74" i="16" s="1"/>
  <c r="CS26" i="21"/>
  <c r="F24" i="16" s="1"/>
  <c r="F78" i="16" s="1"/>
  <c r="CS25" i="21"/>
  <c r="F23" i="16" s="1"/>
  <c r="F76" i="16" s="1"/>
  <c r="CH29" i="21"/>
  <c r="DE27" i="21"/>
  <c r="R25" i="16" s="1"/>
  <c r="R79" i="16" s="1"/>
  <c r="R45" i="24" s="1"/>
  <c r="R45" i="25" s="1"/>
  <c r="R71" i="16"/>
  <c r="R37" i="24" s="1"/>
  <c r="R37" i="25" s="1"/>
  <c r="R38" i="24"/>
  <c r="R38" i="25" s="1"/>
  <c r="DF27" i="21"/>
  <c r="S25" i="16" s="1"/>
  <c r="S79" i="16" s="1"/>
  <c r="S45" i="24" s="1"/>
  <c r="S45" i="25" s="1"/>
  <c r="CI29" i="21"/>
  <c r="DH25" i="21"/>
  <c r="U23" i="16" s="1"/>
  <c r="U76" i="16" s="1"/>
  <c r="CI27" i="21"/>
  <c r="DF24" i="21"/>
  <c r="S22" i="16" s="1"/>
  <c r="S74" i="16" s="1"/>
  <c r="DF26" i="21"/>
  <c r="S24" i="16" s="1"/>
  <c r="S78" i="16" s="1"/>
  <c r="DF25" i="21"/>
  <c r="S23" i="16" s="1"/>
  <c r="S76" i="16" s="1"/>
  <c r="S71" i="16"/>
  <c r="S37" i="24" s="1"/>
  <c r="S37" i="25" s="1"/>
  <c r="S38" i="24"/>
  <c r="S38" i="25" s="1"/>
  <c r="CH27" i="21"/>
  <c r="DE24" i="21"/>
  <c r="R22" i="16" s="1"/>
  <c r="R74" i="16" s="1"/>
  <c r="DE25" i="21"/>
  <c r="R23" i="16" s="1"/>
  <c r="R76" i="16" s="1"/>
  <c r="DE26" i="21"/>
  <c r="R24" i="16" s="1"/>
  <c r="R78" i="16" s="1"/>
  <c r="AI19" i="21"/>
  <c r="BG19" i="21"/>
  <c r="AI20" i="21"/>
  <c r="BG20" i="21"/>
  <c r="BG9" i="21"/>
  <c r="AI12" i="21"/>
  <c r="BG12" i="21"/>
  <c r="AI16" i="21"/>
  <c r="BG16" i="21"/>
  <c r="AI22" i="21"/>
  <c r="BG22" i="21"/>
  <c r="AI13" i="21"/>
  <c r="BG13" i="21"/>
  <c r="AI17" i="21"/>
  <c r="BG17" i="21"/>
  <c r="AI10" i="21"/>
  <c r="BG10" i="21"/>
  <c r="DH26" i="21" l="1"/>
  <c r="U24" i="16" s="1"/>
  <c r="U78" i="16" s="1"/>
  <c r="DH24" i="21"/>
  <c r="U22" i="16" s="1"/>
  <c r="U74" i="16" s="1"/>
  <c r="U73" i="16" s="1"/>
  <c r="U39" i="24" s="1"/>
  <c r="U39" i="25" s="1"/>
  <c r="DG26" i="21"/>
  <c r="T24" i="16" s="1"/>
  <c r="T78" i="16" s="1"/>
  <c r="T77" i="16" s="1"/>
  <c r="T43" i="24" s="1"/>
  <c r="T43" i="25" s="1"/>
  <c r="CT24" i="21"/>
  <c r="G22" i="16" s="1"/>
  <c r="G74" i="16" s="1"/>
  <c r="G73" i="16" s="1"/>
  <c r="G39" i="24" s="1"/>
  <c r="G39" i="25" s="1"/>
  <c r="CT26" i="21"/>
  <c r="G24" i="16" s="1"/>
  <c r="G78" i="16" s="1"/>
  <c r="G77" i="16" s="1"/>
  <c r="G43" i="24" s="1"/>
  <c r="G43" i="25" s="1"/>
  <c r="BP27" i="21"/>
  <c r="CU25" i="21" s="1"/>
  <c r="H23" i="16" s="1"/>
  <c r="H76" i="16" s="1"/>
  <c r="H75" i="16" s="1"/>
  <c r="H41" i="24" s="1"/>
  <c r="H41" i="25" s="1"/>
  <c r="DG25" i="21"/>
  <c r="T23" i="16" s="1"/>
  <c r="T76" i="16" s="1"/>
  <c r="T75" i="16" s="1"/>
  <c r="T41" i="24" s="1"/>
  <c r="T41" i="25" s="1"/>
  <c r="CV23" i="21"/>
  <c r="I21" i="16" s="1"/>
  <c r="I72" i="16" s="1"/>
  <c r="I71" i="16" s="1"/>
  <c r="I37" i="24" s="1"/>
  <c r="I37" i="25" s="1"/>
  <c r="BR27" i="21"/>
  <c r="CW24" i="21" s="1"/>
  <c r="J22" i="16" s="1"/>
  <c r="J74" i="16" s="1"/>
  <c r="T38" i="24"/>
  <c r="T38" i="25" s="1"/>
  <c r="BU29" i="21"/>
  <c r="CZ27" i="21" s="1"/>
  <c r="M25" i="16" s="1"/>
  <c r="M79" i="16" s="1"/>
  <c r="M45" i="24" s="1"/>
  <c r="M45" i="25" s="1"/>
  <c r="BT29" i="21"/>
  <c r="CY27" i="21" s="1"/>
  <c r="L25" i="16" s="1"/>
  <c r="L79" i="16" s="1"/>
  <c r="L45" i="24" s="1"/>
  <c r="L45" i="25" s="1"/>
  <c r="CU23" i="21"/>
  <c r="H21" i="16" s="1"/>
  <c r="H72" i="16" s="1"/>
  <c r="BQ27" i="21"/>
  <c r="BU27" i="21"/>
  <c r="BT27" i="21"/>
  <c r="BT25" i="21"/>
  <c r="BU25" i="21"/>
  <c r="F71" i="16"/>
  <c r="F37" i="24" s="1"/>
  <c r="F37" i="25" s="1"/>
  <c r="F38" i="24"/>
  <c r="F38" i="25" s="1"/>
  <c r="CU26" i="21"/>
  <c r="H24" i="16" s="1"/>
  <c r="H78" i="16" s="1"/>
  <c r="H44" i="24" s="1"/>
  <c r="H44" i="25" s="1"/>
  <c r="BW29" i="21"/>
  <c r="DB27" i="21" s="1"/>
  <c r="O25" i="16" s="1"/>
  <c r="O79" i="16" s="1"/>
  <c r="O45" i="24" s="1"/>
  <c r="O45" i="25" s="1"/>
  <c r="BX29" i="21"/>
  <c r="DC27" i="21" s="1"/>
  <c r="P25" i="16" s="1"/>
  <c r="P79" i="16" s="1"/>
  <c r="P45" i="24" s="1"/>
  <c r="P45" i="25" s="1"/>
  <c r="BV29" i="21"/>
  <c r="DA27" i="21" s="1"/>
  <c r="N25" i="16" s="1"/>
  <c r="N79" i="16" s="1"/>
  <c r="N45" i="24" s="1"/>
  <c r="N45" i="25" s="1"/>
  <c r="BV26" i="21"/>
  <c r="BW26" i="21"/>
  <c r="BX26" i="21"/>
  <c r="BP29" i="21"/>
  <c r="CU27" i="21" s="1"/>
  <c r="H25" i="16" s="1"/>
  <c r="H79" i="16" s="1"/>
  <c r="H45" i="24" s="1"/>
  <c r="H45" i="25" s="1"/>
  <c r="BQ29" i="21"/>
  <c r="CV27" i="21" s="1"/>
  <c r="I25" i="16" s="1"/>
  <c r="I79" i="16" s="1"/>
  <c r="I45" i="24" s="1"/>
  <c r="I45" i="25" s="1"/>
  <c r="BR29" i="21"/>
  <c r="CW27" i="21" s="1"/>
  <c r="J25" i="16" s="1"/>
  <c r="J79" i="16" s="1"/>
  <c r="J45" i="24" s="1"/>
  <c r="J45" i="25" s="1"/>
  <c r="BW27" i="21"/>
  <c r="BX27" i="21"/>
  <c r="BV27" i="21"/>
  <c r="G38" i="24"/>
  <c r="G38" i="25" s="1"/>
  <c r="G71" i="16"/>
  <c r="G37" i="24" s="1"/>
  <c r="G37" i="25" s="1"/>
  <c r="BW25" i="21"/>
  <c r="BV25" i="21"/>
  <c r="BX25" i="21"/>
  <c r="CW23" i="21"/>
  <c r="J21" i="16" s="1"/>
  <c r="J72" i="16" s="1"/>
  <c r="BT26" i="21"/>
  <c r="BU26" i="21"/>
  <c r="G75" i="16"/>
  <c r="G41" i="24" s="1"/>
  <c r="G41" i="25" s="1"/>
  <c r="G42" i="24"/>
  <c r="G42" i="25" s="1"/>
  <c r="F75" i="16"/>
  <c r="F41" i="24" s="1"/>
  <c r="F41" i="25" s="1"/>
  <c r="F42" i="24"/>
  <c r="F42" i="25" s="1"/>
  <c r="F77" i="16"/>
  <c r="F43" i="24" s="1"/>
  <c r="F43" i="25" s="1"/>
  <c r="F44" i="24"/>
  <c r="F44" i="25" s="1"/>
  <c r="F73" i="16"/>
  <c r="F39" i="24" s="1"/>
  <c r="F39" i="25" s="1"/>
  <c r="F40" i="24"/>
  <c r="F40" i="25" s="1"/>
  <c r="S73" i="16"/>
  <c r="S39" i="24" s="1"/>
  <c r="S39" i="25" s="1"/>
  <c r="S40" i="24"/>
  <c r="S40" i="25" s="1"/>
  <c r="U40" i="24"/>
  <c r="U40" i="25" s="1"/>
  <c r="R77" i="16"/>
  <c r="R43" i="24" s="1"/>
  <c r="R43" i="25" s="1"/>
  <c r="R44" i="24"/>
  <c r="R44" i="25" s="1"/>
  <c r="U71" i="16"/>
  <c r="U37" i="24" s="1"/>
  <c r="U37" i="25" s="1"/>
  <c r="U38" i="24"/>
  <c r="U38" i="25" s="1"/>
  <c r="U77" i="16"/>
  <c r="U43" i="24" s="1"/>
  <c r="U43" i="25" s="1"/>
  <c r="U44" i="24"/>
  <c r="U44" i="25" s="1"/>
  <c r="R75" i="16"/>
  <c r="R41" i="24" s="1"/>
  <c r="R41" i="25" s="1"/>
  <c r="R42" i="24"/>
  <c r="R42" i="25" s="1"/>
  <c r="T44" i="24"/>
  <c r="T44" i="25" s="1"/>
  <c r="S75" i="16"/>
  <c r="S41" i="24" s="1"/>
  <c r="S41" i="25" s="1"/>
  <c r="S42" i="24"/>
  <c r="S42" i="25" s="1"/>
  <c r="U75" i="16"/>
  <c r="U41" i="24" s="1"/>
  <c r="U41" i="25" s="1"/>
  <c r="U42" i="24"/>
  <c r="U42" i="25" s="1"/>
  <c r="T73" i="16"/>
  <c r="T39" i="24" s="1"/>
  <c r="T39" i="25" s="1"/>
  <c r="T40" i="24"/>
  <c r="T40" i="25" s="1"/>
  <c r="R73" i="16"/>
  <c r="R39" i="24" s="1"/>
  <c r="R39" i="25" s="1"/>
  <c r="R40" i="24"/>
  <c r="R40" i="25" s="1"/>
  <c r="S77" i="16"/>
  <c r="S43" i="24" s="1"/>
  <c r="S43" i="25" s="1"/>
  <c r="S44" i="24"/>
  <c r="S44" i="25" s="1"/>
  <c r="CA10" i="21"/>
  <c r="BZ10" i="21"/>
  <c r="BZ9" i="21"/>
  <c r="CA9" i="21"/>
  <c r="BZ20" i="21"/>
  <c r="CA20" i="21"/>
  <c r="CA13" i="21"/>
  <c r="BZ13" i="21"/>
  <c r="BZ17" i="21"/>
  <c r="CA17" i="21"/>
  <c r="CA22" i="21"/>
  <c r="BZ22" i="21"/>
  <c r="BZ12" i="21"/>
  <c r="CA12" i="21"/>
  <c r="BZ16" i="21"/>
  <c r="CH16" i="21" s="1"/>
  <c r="CA16" i="21"/>
  <c r="CI16" i="21" s="1"/>
  <c r="CA19" i="21"/>
  <c r="CI19" i="21" s="1"/>
  <c r="BZ19" i="21"/>
  <c r="CH19" i="21" s="1"/>
  <c r="AM22" i="21"/>
  <c r="BC22" i="21" s="1"/>
  <c r="AK22" i="21"/>
  <c r="AL22" i="21"/>
  <c r="BD22" i="21" s="1"/>
  <c r="AJ22" i="21"/>
  <c r="AN22" i="21"/>
  <c r="AO22" i="21"/>
  <c r="AL16" i="21"/>
  <c r="BD16" i="21" s="1"/>
  <c r="AO16" i="21"/>
  <c r="AJ16" i="21"/>
  <c r="AK16" i="21"/>
  <c r="AM16" i="21"/>
  <c r="BC16" i="21" s="1"/>
  <c r="AN16" i="21"/>
  <c r="AN13" i="21"/>
  <c r="AJ13" i="21"/>
  <c r="AO13" i="21"/>
  <c r="AK13" i="21"/>
  <c r="AL13" i="21"/>
  <c r="BD13" i="21" s="1"/>
  <c r="AM13" i="21"/>
  <c r="BC13" i="21" s="1"/>
  <c r="AI18" i="21"/>
  <c r="BG18" i="21"/>
  <c r="AK12" i="21"/>
  <c r="AU12" i="21" s="1"/>
  <c r="AO12" i="21"/>
  <c r="AL12" i="21"/>
  <c r="BD12" i="21" s="1"/>
  <c r="AM12" i="21"/>
  <c r="BC12" i="21" s="1"/>
  <c r="AN12" i="21"/>
  <c r="AJ12" i="21"/>
  <c r="AI14" i="21"/>
  <c r="BG14" i="21"/>
  <c r="AI23" i="21"/>
  <c r="BG23" i="21"/>
  <c r="AI11" i="21"/>
  <c r="BG11" i="21"/>
  <c r="AJ20" i="21"/>
  <c r="AN20" i="21"/>
  <c r="AK20" i="21"/>
  <c r="AU20" i="21" s="1"/>
  <c r="AL20" i="21"/>
  <c r="BD20" i="21" s="1"/>
  <c r="AM20" i="21"/>
  <c r="BC20" i="21" s="1"/>
  <c r="AO20" i="21"/>
  <c r="AN19" i="21"/>
  <c r="AJ19" i="21"/>
  <c r="AL19" i="21"/>
  <c r="BD19" i="21" s="1"/>
  <c r="AM19" i="21"/>
  <c r="BC19" i="21" s="1"/>
  <c r="AO19" i="21"/>
  <c r="AK19" i="21"/>
  <c r="AU19" i="21" s="1"/>
  <c r="AO10" i="21"/>
  <c r="AL10" i="21"/>
  <c r="BD10" i="21" s="1"/>
  <c r="AJ10" i="21"/>
  <c r="AM10" i="21"/>
  <c r="BC10" i="21" s="1"/>
  <c r="AK10" i="21"/>
  <c r="AU10" i="21" s="1"/>
  <c r="AN10" i="21"/>
  <c r="AM17" i="21"/>
  <c r="BC17" i="21" s="1"/>
  <c r="AN17" i="21"/>
  <c r="AJ17" i="21"/>
  <c r="AK17" i="21"/>
  <c r="AL17" i="21"/>
  <c r="BD17" i="21" s="1"/>
  <c r="AO17" i="21"/>
  <c r="AI15" i="21"/>
  <c r="BG15" i="21"/>
  <c r="AI7" i="21"/>
  <c r="BG7" i="21"/>
  <c r="AI21" i="21"/>
  <c r="BG21" i="21"/>
  <c r="AI24" i="21"/>
  <c r="AI6" i="21"/>
  <c r="AI9" i="21"/>
  <c r="BG6" i="21"/>
  <c r="AI8" i="21"/>
  <c r="BG8" i="21"/>
  <c r="CB16" i="21" l="1"/>
  <c r="CU24" i="21"/>
  <c r="H22" i="16" s="1"/>
  <c r="H74" i="16" s="1"/>
  <c r="H40" i="24" s="1"/>
  <c r="H40" i="25" s="1"/>
  <c r="G40" i="24"/>
  <c r="G40" i="25" s="1"/>
  <c r="G44" i="24"/>
  <c r="G44" i="25" s="1"/>
  <c r="CB12" i="21"/>
  <c r="CC16" i="21"/>
  <c r="T42" i="24"/>
  <c r="T42" i="25" s="1"/>
  <c r="CB20" i="21"/>
  <c r="CB22" i="21"/>
  <c r="CZ23" i="21"/>
  <c r="M21" i="16" s="1"/>
  <c r="M72" i="16" s="1"/>
  <c r="M71" i="16" s="1"/>
  <c r="M37" i="24" s="1"/>
  <c r="M37" i="25" s="1"/>
  <c r="CW26" i="21"/>
  <c r="J24" i="16" s="1"/>
  <c r="J78" i="16" s="1"/>
  <c r="CW25" i="21"/>
  <c r="J23" i="16" s="1"/>
  <c r="J76" i="16" s="1"/>
  <c r="CC17" i="21"/>
  <c r="CC19" i="21"/>
  <c r="CB13" i="21"/>
  <c r="H42" i="24"/>
  <c r="H42" i="25" s="1"/>
  <c r="J40" i="24"/>
  <c r="J40" i="25" s="1"/>
  <c r="J73" i="16"/>
  <c r="J39" i="24" s="1"/>
  <c r="J39" i="25" s="1"/>
  <c r="CB10" i="21"/>
  <c r="CC12" i="21"/>
  <c r="CB17" i="21"/>
  <c r="DG17" i="21" s="1"/>
  <c r="T15" i="16" s="1"/>
  <c r="I38" i="24"/>
  <c r="I38" i="25" s="1"/>
  <c r="DA23" i="21"/>
  <c r="N21" i="16" s="1"/>
  <c r="N72" i="16" s="1"/>
  <c r="N38" i="24" s="1"/>
  <c r="N38" i="25" s="1"/>
  <c r="H77" i="16"/>
  <c r="H43" i="24" s="1"/>
  <c r="H43" i="25" s="1"/>
  <c r="BN17" i="21"/>
  <c r="AW17" i="21"/>
  <c r="AV17" i="21"/>
  <c r="BA10" i="21"/>
  <c r="AX10" i="21"/>
  <c r="BB13" i="21"/>
  <c r="AY13" i="21"/>
  <c r="AZ13" i="21"/>
  <c r="AY22" i="21"/>
  <c r="AZ22" i="21"/>
  <c r="BB22" i="21"/>
  <c r="DA24" i="21"/>
  <c r="N22" i="16" s="1"/>
  <c r="N74" i="16" s="1"/>
  <c r="DA26" i="21"/>
  <c r="N24" i="16" s="1"/>
  <c r="N78" i="16" s="1"/>
  <c r="DA25" i="21"/>
  <c r="N23" i="16" s="1"/>
  <c r="N76" i="16" s="1"/>
  <c r="CY23" i="21"/>
  <c r="L21" i="16" s="1"/>
  <c r="L72" i="16" s="1"/>
  <c r="DC24" i="21"/>
  <c r="P22" i="16" s="1"/>
  <c r="P74" i="16" s="1"/>
  <c r="DC25" i="21"/>
  <c r="P23" i="16" s="1"/>
  <c r="P76" i="16" s="1"/>
  <c r="DC26" i="21"/>
  <c r="P24" i="16" s="1"/>
  <c r="P78" i="16" s="1"/>
  <c r="CY26" i="21"/>
  <c r="L24" i="16" s="1"/>
  <c r="L78" i="16" s="1"/>
  <c r="CY25" i="21"/>
  <c r="L23" i="16" s="1"/>
  <c r="L76" i="16" s="1"/>
  <c r="CY24" i="21"/>
  <c r="L22" i="16" s="1"/>
  <c r="L74" i="16" s="1"/>
  <c r="BB17" i="21"/>
  <c r="AY17" i="21"/>
  <c r="AZ17" i="21"/>
  <c r="BN19" i="21"/>
  <c r="AW19" i="21"/>
  <c r="AV19" i="21"/>
  <c r="BO13" i="21"/>
  <c r="AU13" i="21"/>
  <c r="AY16" i="21"/>
  <c r="AZ16" i="21"/>
  <c r="BB16" i="21"/>
  <c r="BA16" i="21"/>
  <c r="AX16" i="21"/>
  <c r="BN22" i="21"/>
  <c r="AV22" i="21"/>
  <c r="AW22" i="21"/>
  <c r="CC13" i="21"/>
  <c r="CB19" i="21"/>
  <c r="CC20" i="21"/>
  <c r="CC10" i="21"/>
  <c r="AV10" i="21"/>
  <c r="AW10" i="21"/>
  <c r="BA19" i="21"/>
  <c r="AX19" i="21"/>
  <c r="BB19" i="21"/>
  <c r="AY19" i="21"/>
  <c r="AZ19" i="21"/>
  <c r="BA13" i="21"/>
  <c r="AX13" i="21"/>
  <c r="J71" i="16"/>
  <c r="J37" i="24" s="1"/>
  <c r="J37" i="25" s="1"/>
  <c r="J38" i="24"/>
  <c r="J38" i="25" s="1"/>
  <c r="DB26" i="21"/>
  <c r="O24" i="16" s="1"/>
  <c r="O78" i="16" s="1"/>
  <c r="DB24" i="21"/>
  <c r="O22" i="16" s="1"/>
  <c r="O74" i="16" s="1"/>
  <c r="DB25" i="21"/>
  <c r="O23" i="16" s="1"/>
  <c r="O76" i="16" s="1"/>
  <c r="DC23" i="21"/>
  <c r="P21" i="16" s="1"/>
  <c r="P72" i="16" s="1"/>
  <c r="CZ26" i="21"/>
  <c r="M24" i="16" s="1"/>
  <c r="M78" i="16" s="1"/>
  <c r="CZ25" i="21"/>
  <c r="M23" i="16" s="1"/>
  <c r="M76" i="16" s="1"/>
  <c r="CZ24" i="21"/>
  <c r="M22" i="16" s="1"/>
  <c r="M74" i="16" s="1"/>
  <c r="AV20" i="21"/>
  <c r="AW20" i="21"/>
  <c r="AY12" i="21"/>
  <c r="AZ12" i="21"/>
  <c r="BB12" i="21"/>
  <c r="BN16" i="21"/>
  <c r="AV16" i="21"/>
  <c r="AW16" i="21"/>
  <c r="CC22" i="21"/>
  <c r="H71" i="16"/>
  <c r="H37" i="24" s="1"/>
  <c r="H37" i="25" s="1"/>
  <c r="H38" i="24"/>
  <c r="H38" i="25" s="1"/>
  <c r="BA17" i="21"/>
  <c r="AX17" i="21"/>
  <c r="BO17" i="21"/>
  <c r="AU17" i="21"/>
  <c r="AY10" i="21"/>
  <c r="AZ10" i="21"/>
  <c r="BB10" i="21"/>
  <c r="BA20" i="21"/>
  <c r="AX20" i="21"/>
  <c r="AY20" i="21"/>
  <c r="AZ20" i="21"/>
  <c r="BB20" i="21"/>
  <c r="AV12" i="21"/>
  <c r="AW12" i="21"/>
  <c r="BA12" i="21"/>
  <c r="AX12" i="21"/>
  <c r="AW13" i="21"/>
  <c r="AV13" i="21"/>
  <c r="BO16" i="21"/>
  <c r="AU16" i="21"/>
  <c r="BA22" i="21"/>
  <c r="AX22" i="21"/>
  <c r="BO22" i="21"/>
  <c r="AU22" i="21"/>
  <c r="DB23" i="21"/>
  <c r="O21" i="16" s="1"/>
  <c r="O72" i="16" s="1"/>
  <c r="CV25" i="21"/>
  <c r="I23" i="16" s="1"/>
  <c r="I76" i="16" s="1"/>
  <c r="CV26" i="21"/>
  <c r="I24" i="16" s="1"/>
  <c r="I78" i="16" s="1"/>
  <c r="CV24" i="21"/>
  <c r="I22" i="16" s="1"/>
  <c r="I74" i="16" s="1"/>
  <c r="CH22" i="21"/>
  <c r="CH13" i="21"/>
  <c r="DE14" i="21"/>
  <c r="R12" i="16" s="1"/>
  <c r="CI9" i="21"/>
  <c r="CI12" i="21"/>
  <c r="CI17" i="21"/>
  <c r="DF17" i="21"/>
  <c r="S15" i="16" s="1"/>
  <c r="CI20" i="21"/>
  <c r="DF19" i="21"/>
  <c r="S17" i="16" s="1"/>
  <c r="CH10" i="21"/>
  <c r="DE10" i="21"/>
  <c r="R8" i="16" s="1"/>
  <c r="DE11" i="21"/>
  <c r="R9" i="16" s="1"/>
  <c r="CH12" i="21"/>
  <c r="CH17" i="21"/>
  <c r="DE17" i="21"/>
  <c r="R15" i="16" s="1"/>
  <c r="CH20" i="21"/>
  <c r="DE19" i="21"/>
  <c r="R17" i="16" s="1"/>
  <c r="DF11" i="21"/>
  <c r="S9" i="16" s="1"/>
  <c r="CI10" i="21"/>
  <c r="DF10" i="21"/>
  <c r="S8" i="16" s="1"/>
  <c r="CI22" i="21"/>
  <c r="CI13" i="21"/>
  <c r="DF14" i="21"/>
  <c r="S12" i="16" s="1"/>
  <c r="CH9" i="21"/>
  <c r="CA6" i="21"/>
  <c r="CI6" i="21" s="1"/>
  <c r="BZ6" i="21"/>
  <c r="CH6" i="21" s="1"/>
  <c r="BZ8" i="21"/>
  <c r="DE9" i="21" s="1"/>
  <c r="R7" i="16" s="1"/>
  <c r="CA8" i="21"/>
  <c r="BZ21" i="21"/>
  <c r="DE21" i="21" s="1"/>
  <c r="R19" i="16" s="1"/>
  <c r="CA21" i="21"/>
  <c r="DF21" i="21" s="1"/>
  <c r="S19" i="16" s="1"/>
  <c r="BZ15" i="21"/>
  <c r="CA15" i="21"/>
  <c r="CA11" i="21"/>
  <c r="BZ11" i="21"/>
  <c r="DE13" i="21" s="1"/>
  <c r="R11" i="16" s="1"/>
  <c r="CA14" i="21"/>
  <c r="BZ14" i="21"/>
  <c r="BZ18" i="21"/>
  <c r="CA18" i="21"/>
  <c r="BZ7" i="21"/>
  <c r="CA7" i="21"/>
  <c r="BZ23" i="21"/>
  <c r="CA23" i="21"/>
  <c r="BN13" i="21"/>
  <c r="BN20" i="21"/>
  <c r="BO10" i="21"/>
  <c r="BO19" i="21"/>
  <c r="BN12" i="21"/>
  <c r="BN10" i="21"/>
  <c r="BO20" i="21"/>
  <c r="BO12" i="21"/>
  <c r="AM6" i="21"/>
  <c r="BC6" i="21" s="1"/>
  <c r="AK6" i="21"/>
  <c r="AN6" i="21"/>
  <c r="AO6" i="21"/>
  <c r="AJ6" i="21"/>
  <c r="AL6" i="21"/>
  <c r="BD6" i="21" s="1"/>
  <c r="AL18" i="21"/>
  <c r="BD18" i="21" s="1"/>
  <c r="AN18" i="21"/>
  <c r="AO18" i="21"/>
  <c r="AM18" i="21"/>
  <c r="BC18" i="21" s="1"/>
  <c r="AJ18" i="21"/>
  <c r="AK18" i="21"/>
  <c r="AU18" i="21" s="1"/>
  <c r="AM15" i="21"/>
  <c r="BC15" i="21" s="1"/>
  <c r="AJ15" i="21"/>
  <c r="AK15" i="21"/>
  <c r="AU15" i="21" s="1"/>
  <c r="AN15" i="21"/>
  <c r="AL15" i="21"/>
  <c r="BD15" i="21" s="1"/>
  <c r="AO15" i="21"/>
  <c r="AN14" i="21"/>
  <c r="AO14" i="21"/>
  <c r="AJ14" i="21"/>
  <c r="AK14" i="21"/>
  <c r="AU14" i="21" s="1"/>
  <c r="AM14" i="21"/>
  <c r="BC14" i="21" s="1"/>
  <c r="AL14" i="21"/>
  <c r="BD14" i="21" s="1"/>
  <c r="AK8" i="21"/>
  <c r="AM8" i="21"/>
  <c r="BC8" i="21" s="1"/>
  <c r="AJ8" i="21"/>
  <c r="AN8" i="21"/>
  <c r="AL8" i="21"/>
  <c r="BD8" i="21" s="1"/>
  <c r="AO8" i="21"/>
  <c r="AN23" i="21"/>
  <c r="AM23" i="21"/>
  <c r="BC23" i="21" s="1"/>
  <c r="AK23" i="21"/>
  <c r="AL23" i="21"/>
  <c r="BD23" i="21" s="1"/>
  <c r="AO23" i="21"/>
  <c r="AJ23" i="21"/>
  <c r="AJ7" i="21"/>
  <c r="AM7" i="21"/>
  <c r="BC7" i="21" s="1"/>
  <c r="AK7" i="21"/>
  <c r="AU7" i="21" s="1"/>
  <c r="AN7" i="21"/>
  <c r="AL7" i="21"/>
  <c r="BD7" i="21" s="1"/>
  <c r="AO7" i="21"/>
  <c r="AM11" i="21"/>
  <c r="BC11" i="21" s="1"/>
  <c r="AL11" i="21"/>
  <c r="BD11" i="21" s="1"/>
  <c r="AO11" i="21"/>
  <c r="AJ11" i="21"/>
  <c r="AN11" i="21"/>
  <c r="AK11" i="21"/>
  <c r="AU11" i="21" s="1"/>
  <c r="AN9" i="21"/>
  <c r="AK9" i="21"/>
  <c r="AU9" i="21" s="1"/>
  <c r="AJ9" i="21"/>
  <c r="AM9" i="21"/>
  <c r="BC9" i="21" s="1"/>
  <c r="AO9" i="21"/>
  <c r="AL9" i="21"/>
  <c r="BD9" i="21" s="1"/>
  <c r="AK24" i="21"/>
  <c r="AU24" i="21" s="1"/>
  <c r="AL24" i="21"/>
  <c r="BD24" i="21" s="1"/>
  <c r="AN24" i="21"/>
  <c r="AJ24" i="21"/>
  <c r="AM24" i="21"/>
  <c r="BC24" i="21" s="1"/>
  <c r="AO24" i="21"/>
  <c r="AM21" i="21"/>
  <c r="BC21" i="21" s="1"/>
  <c r="AL21" i="21"/>
  <c r="BD21" i="21" s="1"/>
  <c r="AN21" i="21"/>
  <c r="AO21" i="21"/>
  <c r="AK21" i="21"/>
  <c r="AU21" i="21" s="1"/>
  <c r="AJ21" i="21"/>
  <c r="H73" i="16" l="1"/>
  <c r="H39" i="24" s="1"/>
  <c r="H39" i="25" s="1"/>
  <c r="CS19" i="21"/>
  <c r="F17" i="16" s="1"/>
  <c r="M38" i="24"/>
  <c r="M38" i="25" s="1"/>
  <c r="DG19" i="21"/>
  <c r="T17" i="16" s="1"/>
  <c r="DG14" i="21"/>
  <c r="T12" i="16" s="1"/>
  <c r="DH17" i="21"/>
  <c r="U15" i="16" s="1"/>
  <c r="DH19" i="21"/>
  <c r="U17" i="16" s="1"/>
  <c r="N71" i="16"/>
  <c r="N37" i="24" s="1"/>
  <c r="N37" i="25" s="1"/>
  <c r="CC23" i="21"/>
  <c r="DH22" i="21" s="1"/>
  <c r="U20" i="16" s="1"/>
  <c r="DH14" i="21"/>
  <c r="U12" i="16" s="1"/>
  <c r="CB6" i="21"/>
  <c r="BP12" i="21"/>
  <c r="J75" i="16"/>
  <c r="J41" i="24" s="1"/>
  <c r="J41" i="25" s="1"/>
  <c r="J42" i="24"/>
  <c r="J42" i="25" s="1"/>
  <c r="CB24" i="21"/>
  <c r="CB11" i="21"/>
  <c r="DG12" i="21" s="1"/>
  <c r="T10" i="16" s="1"/>
  <c r="CB14" i="21"/>
  <c r="DG15" i="21" s="1"/>
  <c r="T13" i="16" s="1"/>
  <c r="BR10" i="21"/>
  <c r="BR19" i="21"/>
  <c r="J44" i="24"/>
  <c r="J44" i="25" s="1"/>
  <c r="J77" i="16"/>
  <c r="J43" i="24" s="1"/>
  <c r="J43" i="25" s="1"/>
  <c r="CB21" i="21"/>
  <c r="DG20" i="21" s="1"/>
  <c r="T18" i="16" s="1"/>
  <c r="CC7" i="21"/>
  <c r="CT17" i="21"/>
  <c r="G15" i="16" s="1"/>
  <c r="CC6" i="21"/>
  <c r="CC21" i="21"/>
  <c r="DH20" i="21" s="1"/>
  <c r="U18" i="16" s="1"/>
  <c r="CB23" i="21"/>
  <c r="DG22" i="21" s="1"/>
  <c r="T20" i="16" s="1"/>
  <c r="CS14" i="21"/>
  <c r="F12" i="16" s="1"/>
  <c r="CB8" i="21"/>
  <c r="CC18" i="21"/>
  <c r="DH18" i="21" s="1"/>
  <c r="U16" i="16" s="1"/>
  <c r="BQ12" i="21"/>
  <c r="CC15" i="21"/>
  <c r="CB15" i="21"/>
  <c r="DG16" i="21" s="1"/>
  <c r="T14" i="16" s="1"/>
  <c r="BP10" i="21"/>
  <c r="AW21" i="21"/>
  <c r="AV21" i="21"/>
  <c r="BP21" i="21" s="1"/>
  <c r="BA7" i="21"/>
  <c r="AX7" i="21"/>
  <c r="CB18" i="21"/>
  <c r="DG18" i="21" s="1"/>
  <c r="T16" i="16" s="1"/>
  <c r="L42" i="24"/>
  <c r="L42" i="25" s="1"/>
  <c r="L75" i="16"/>
  <c r="L41" i="24" s="1"/>
  <c r="L41" i="25" s="1"/>
  <c r="AY24" i="21"/>
  <c r="AZ24" i="21"/>
  <c r="BB24" i="21"/>
  <c r="BA9" i="21"/>
  <c r="AX9" i="21"/>
  <c r="BB9" i="21"/>
  <c r="AY9" i="21"/>
  <c r="AZ9" i="21"/>
  <c r="BA11" i="21"/>
  <c r="AX11" i="21"/>
  <c r="BN7" i="21"/>
  <c r="AW7" i="21"/>
  <c r="AV7" i="21"/>
  <c r="BO23" i="21"/>
  <c r="CT22" i="21" s="1"/>
  <c r="G20" i="16" s="1"/>
  <c r="AU23" i="21"/>
  <c r="BO8" i="21"/>
  <c r="AU8" i="21"/>
  <c r="AV14" i="21"/>
  <c r="AW14" i="21"/>
  <c r="BA18" i="21"/>
  <c r="AX18" i="21"/>
  <c r="CB7" i="21"/>
  <c r="CC11" i="21"/>
  <c r="DH12" i="21" s="1"/>
  <c r="U10" i="16" s="1"/>
  <c r="CC8" i="21"/>
  <c r="CC14" i="21"/>
  <c r="DH15" i="21" s="1"/>
  <c r="U13" i="16" s="1"/>
  <c r="O71" i="16"/>
  <c r="O37" i="24" s="1"/>
  <c r="O37" i="25" s="1"/>
  <c r="O38" i="24"/>
  <c r="O38" i="25" s="1"/>
  <c r="BV22" i="21"/>
  <c r="BX22" i="21"/>
  <c r="BW22" i="21"/>
  <c r="BV17" i="21"/>
  <c r="BX17" i="21"/>
  <c r="BW17" i="21"/>
  <c r="BP20" i="21"/>
  <c r="BR20" i="21"/>
  <c r="CW19" i="21" s="1"/>
  <c r="J17" i="16" s="1"/>
  <c r="BQ20" i="21"/>
  <c r="P71" i="16"/>
  <c r="P37" i="24" s="1"/>
  <c r="P37" i="25" s="1"/>
  <c r="P38" i="24"/>
  <c r="P38" i="25" s="1"/>
  <c r="BR12" i="21"/>
  <c r="BT16" i="21"/>
  <c r="BU16" i="21"/>
  <c r="BP13" i="21"/>
  <c r="BQ13" i="21"/>
  <c r="BR13" i="21"/>
  <c r="L77" i="16"/>
  <c r="L43" i="24" s="1"/>
  <c r="L43" i="25" s="1"/>
  <c r="L44" i="24"/>
  <c r="L44" i="25" s="1"/>
  <c r="L71" i="16"/>
  <c r="L37" i="24" s="1"/>
  <c r="L37" i="25" s="1"/>
  <c r="L38" i="24"/>
  <c r="L38" i="25" s="1"/>
  <c r="BN11" i="21"/>
  <c r="CS12" i="21" s="1"/>
  <c r="F10" i="16" s="1"/>
  <c r="AW11" i="21"/>
  <c r="AV11" i="21"/>
  <c r="BT12" i="21"/>
  <c r="BU12" i="21"/>
  <c r="O77" i="16"/>
  <c r="O43" i="24" s="1"/>
  <c r="O43" i="25" s="1"/>
  <c r="O44" i="24"/>
  <c r="O44" i="25" s="1"/>
  <c r="BW16" i="21"/>
  <c r="BV16" i="21"/>
  <c r="BX16" i="21"/>
  <c r="P73" i="16"/>
  <c r="P39" i="24" s="1"/>
  <c r="P39" i="25" s="1"/>
  <c r="P40" i="24"/>
  <c r="P40" i="25" s="1"/>
  <c r="BA21" i="21"/>
  <c r="AX21" i="21"/>
  <c r="BA24" i="21"/>
  <c r="AX24" i="21"/>
  <c r="CC9" i="21"/>
  <c r="DH10" i="21" s="1"/>
  <c r="U8" i="16" s="1"/>
  <c r="CB9" i="21"/>
  <c r="AW23" i="21"/>
  <c r="AV23" i="21"/>
  <c r="AY8" i="21"/>
  <c r="AZ8" i="21"/>
  <c r="BB8" i="21"/>
  <c r="BA14" i="21"/>
  <c r="AX14" i="21"/>
  <c r="BB15" i="21"/>
  <c r="AY15" i="21"/>
  <c r="AZ15" i="21"/>
  <c r="AY18" i="21"/>
  <c r="AZ18" i="21"/>
  <c r="BB18" i="21"/>
  <c r="CC24" i="21"/>
  <c r="DH11" i="21"/>
  <c r="U9" i="16" s="1"/>
  <c r="I40" i="24"/>
  <c r="I40" i="25" s="1"/>
  <c r="I73" i="16"/>
  <c r="I39" i="24" s="1"/>
  <c r="I39" i="25" s="1"/>
  <c r="BT22" i="21"/>
  <c r="BU22" i="21"/>
  <c r="BX20" i="21"/>
  <c r="BV20" i="21"/>
  <c r="BW20" i="21"/>
  <c r="BT17" i="21"/>
  <c r="BU17" i="21"/>
  <c r="M73" i="16"/>
  <c r="M39" i="24" s="1"/>
  <c r="M39" i="25" s="1"/>
  <c r="M40" i="24"/>
  <c r="M40" i="25" s="1"/>
  <c r="O75" i="16"/>
  <c r="O41" i="24" s="1"/>
  <c r="O41" i="25" s="1"/>
  <c r="O42" i="24"/>
  <c r="O42" i="25" s="1"/>
  <c r="BW13" i="21"/>
  <c r="BX13" i="21"/>
  <c r="BV13" i="21"/>
  <c r="CT14" i="21"/>
  <c r="G12" i="16" s="1"/>
  <c r="P44" i="24"/>
  <c r="P44" i="25" s="1"/>
  <c r="P77" i="16"/>
  <c r="P43" i="24" s="1"/>
  <c r="P43" i="25" s="1"/>
  <c r="N75" i="16"/>
  <c r="N41" i="24" s="1"/>
  <c r="N41" i="25" s="1"/>
  <c r="N42" i="24"/>
  <c r="N42" i="25" s="1"/>
  <c r="BN24" i="21"/>
  <c r="AV24" i="21"/>
  <c r="AW24" i="21"/>
  <c r="BA8" i="21"/>
  <c r="AX8" i="21"/>
  <c r="BA15" i="21"/>
  <c r="AX15" i="21"/>
  <c r="AW15" i="21"/>
  <c r="AV15" i="21"/>
  <c r="I75" i="16"/>
  <c r="I41" i="24" s="1"/>
  <c r="I41" i="25" s="1"/>
  <c r="I42" i="24"/>
  <c r="I42" i="25" s="1"/>
  <c r="M77" i="16"/>
  <c r="M43" i="24" s="1"/>
  <c r="M43" i="25" s="1"/>
  <c r="M44" i="24"/>
  <c r="M44" i="25" s="1"/>
  <c r="BT19" i="21"/>
  <c r="BU19" i="21"/>
  <c r="N40" i="24"/>
  <c r="N40" i="25" s="1"/>
  <c r="N73" i="16"/>
  <c r="N39" i="24" s="1"/>
  <c r="N39" i="25" s="1"/>
  <c r="BU10" i="21"/>
  <c r="BT10" i="21"/>
  <c r="BB7" i="21"/>
  <c r="AY7" i="21"/>
  <c r="AZ7" i="21"/>
  <c r="BB21" i="21"/>
  <c r="AY21" i="21"/>
  <c r="AZ21" i="21"/>
  <c r="AW9" i="21"/>
  <c r="AV9" i="21"/>
  <c r="BB11" i="21"/>
  <c r="AY11" i="21"/>
  <c r="AZ11" i="21"/>
  <c r="BA23" i="21"/>
  <c r="AX23" i="21"/>
  <c r="BB23" i="21"/>
  <c r="AY23" i="21"/>
  <c r="AZ23" i="21"/>
  <c r="AV8" i="21"/>
  <c r="AW8" i="21"/>
  <c r="AY14" i="21"/>
  <c r="AZ14" i="21"/>
  <c r="BB14" i="21"/>
  <c r="BN18" i="21"/>
  <c r="CS18" i="21" s="1"/>
  <c r="F16" i="16" s="1"/>
  <c r="AV18" i="21"/>
  <c r="AW18" i="21"/>
  <c r="CT19" i="21"/>
  <c r="G17" i="16" s="1"/>
  <c r="I77" i="16"/>
  <c r="I43" i="24" s="1"/>
  <c r="I43" i="25" s="1"/>
  <c r="I44" i="24"/>
  <c r="I44" i="25" s="1"/>
  <c r="BQ22" i="21"/>
  <c r="BR22" i="21"/>
  <c r="BP22" i="21"/>
  <c r="BQ16" i="21"/>
  <c r="BP16" i="21"/>
  <c r="BR16" i="21"/>
  <c r="BV12" i="21"/>
  <c r="BX12" i="21"/>
  <c r="BW12" i="21"/>
  <c r="BT20" i="21"/>
  <c r="BU20" i="21"/>
  <c r="BP17" i="21"/>
  <c r="BQ17" i="21"/>
  <c r="BR17" i="21"/>
  <c r="CW17" i="21" s="1"/>
  <c r="J15" i="16" s="1"/>
  <c r="M75" i="16"/>
  <c r="M41" i="24" s="1"/>
  <c r="M41" i="25" s="1"/>
  <c r="M42" i="24"/>
  <c r="M42" i="25" s="1"/>
  <c r="O40" i="24"/>
  <c r="O40" i="25" s="1"/>
  <c r="O73" i="16"/>
  <c r="O39" i="24" s="1"/>
  <c r="O39" i="25" s="1"/>
  <c r="BQ10" i="21"/>
  <c r="BT13" i="21"/>
  <c r="CY14" i="21" s="1"/>
  <c r="L12" i="16" s="1"/>
  <c r="BU13" i="21"/>
  <c r="BV19" i="21"/>
  <c r="BX19" i="21"/>
  <c r="BW19" i="21"/>
  <c r="BQ19" i="21"/>
  <c r="L73" i="16"/>
  <c r="L39" i="24" s="1"/>
  <c r="L39" i="25" s="1"/>
  <c r="L40" i="24"/>
  <c r="L40" i="25" s="1"/>
  <c r="P75" i="16"/>
  <c r="P41" i="24" s="1"/>
  <c r="P41" i="25" s="1"/>
  <c r="P42" i="24"/>
  <c r="P42" i="25" s="1"/>
  <c r="N77" i="16"/>
  <c r="N43" i="24" s="1"/>
  <c r="N43" i="25" s="1"/>
  <c r="N44" i="24"/>
  <c r="N44" i="25" s="1"/>
  <c r="BV10" i="21"/>
  <c r="BX10" i="21"/>
  <c r="BW10" i="21"/>
  <c r="CS17" i="21"/>
  <c r="F15" i="16" s="1"/>
  <c r="BP19" i="21"/>
  <c r="BN6" i="21"/>
  <c r="AW6" i="21"/>
  <c r="AV6" i="21"/>
  <c r="BO6" i="21"/>
  <c r="AU6" i="21"/>
  <c r="BA6" i="21"/>
  <c r="AX6" i="21"/>
  <c r="AY6" i="21"/>
  <c r="AZ6" i="21"/>
  <c r="BB6" i="21"/>
  <c r="DF7" i="21"/>
  <c r="S5" i="16" s="1"/>
  <c r="CI7" i="21"/>
  <c r="CH14" i="21"/>
  <c r="DE15" i="21"/>
  <c r="R13" i="16" s="1"/>
  <c r="CI15" i="21"/>
  <c r="DF16" i="21"/>
  <c r="S14" i="16" s="1"/>
  <c r="CI8" i="21"/>
  <c r="DF8" i="21"/>
  <c r="S6" i="16" s="1"/>
  <c r="DF9" i="21"/>
  <c r="S7" i="16" s="1"/>
  <c r="CH7" i="21"/>
  <c r="DE7" i="21"/>
  <c r="R5" i="16" s="1"/>
  <c r="DF15" i="21"/>
  <c r="S13" i="16" s="1"/>
  <c r="CI14" i="21"/>
  <c r="CH15" i="21"/>
  <c r="DE16" i="21"/>
  <c r="R14" i="16" s="1"/>
  <c r="CH8" i="21"/>
  <c r="DE8" i="21"/>
  <c r="R6" i="16" s="1"/>
  <c r="CH23" i="21"/>
  <c r="DE22" i="21"/>
  <c r="R20" i="16" s="1"/>
  <c r="CH18" i="21"/>
  <c r="DE18" i="21"/>
  <c r="R16" i="16" s="1"/>
  <c r="CI11" i="21"/>
  <c r="DF12" i="21"/>
  <c r="S10" i="16" s="1"/>
  <c r="CH21" i="21"/>
  <c r="DE20" i="21"/>
  <c r="R18" i="16" s="1"/>
  <c r="CI23" i="21"/>
  <c r="DF22" i="21"/>
  <c r="S20" i="16" s="1"/>
  <c r="CI18" i="21"/>
  <c r="DF18" i="21"/>
  <c r="S16" i="16" s="1"/>
  <c r="CH11" i="21"/>
  <c r="DE12" i="21"/>
  <c r="R10" i="16" s="1"/>
  <c r="CI21" i="21"/>
  <c r="DF20" i="21"/>
  <c r="S18" i="16" s="1"/>
  <c r="DF13" i="21"/>
  <c r="S11" i="16" s="1"/>
  <c r="BO21" i="21"/>
  <c r="CT20" i="21" s="1"/>
  <c r="G18" i="16" s="1"/>
  <c r="BO11" i="21"/>
  <c r="CT12" i="21" s="1"/>
  <c r="G10" i="16" s="1"/>
  <c r="BO7" i="21"/>
  <c r="BO14" i="21"/>
  <c r="CT15" i="21" s="1"/>
  <c r="G13" i="16" s="1"/>
  <c r="BN15" i="21"/>
  <c r="BN23" i="21"/>
  <c r="CS22" i="21" s="1"/>
  <c r="F20" i="16" s="1"/>
  <c r="BO24" i="21"/>
  <c r="BN9" i="21"/>
  <c r="BN8" i="21"/>
  <c r="BN14" i="21"/>
  <c r="CS15" i="21" s="1"/>
  <c r="F13" i="16" s="1"/>
  <c r="BO18" i="21"/>
  <c r="CT18" i="21" s="1"/>
  <c r="G16" i="16" s="1"/>
  <c r="BO15" i="21"/>
  <c r="CT16" i="21" s="1"/>
  <c r="G14" i="16" s="1"/>
  <c r="BN21" i="21"/>
  <c r="CS20" i="21" s="1"/>
  <c r="F18" i="16" s="1"/>
  <c r="BO9" i="21"/>
  <c r="DH8" i="21" l="1"/>
  <c r="U6" i="16" s="1"/>
  <c r="DH21" i="21"/>
  <c r="U19" i="16" s="1"/>
  <c r="DG21" i="21"/>
  <c r="T19" i="16" s="1"/>
  <c r="DG8" i="21"/>
  <c r="T6" i="16" s="1"/>
  <c r="CT9" i="21"/>
  <c r="G7" i="16" s="1"/>
  <c r="CY17" i="21"/>
  <c r="L15" i="16" s="1"/>
  <c r="CS7" i="21"/>
  <c r="F5" i="16" s="1"/>
  <c r="DG7" i="21"/>
  <c r="T5" i="16" s="1"/>
  <c r="CS8" i="21"/>
  <c r="F6" i="16" s="1"/>
  <c r="BR14" i="21"/>
  <c r="DG13" i="21"/>
  <c r="T11" i="16" s="1"/>
  <c r="CU21" i="21"/>
  <c r="H19" i="16" s="1"/>
  <c r="CS13" i="21"/>
  <c r="F11" i="16" s="1"/>
  <c r="BP11" i="21"/>
  <c r="CU12" i="21" s="1"/>
  <c r="H10" i="16" s="1"/>
  <c r="CV14" i="21"/>
  <c r="I12" i="16" s="1"/>
  <c r="CZ14" i="21"/>
  <c r="M12" i="16" s="1"/>
  <c r="CZ17" i="21"/>
  <c r="M15" i="16" s="1"/>
  <c r="CU14" i="21"/>
  <c r="H12" i="16" s="1"/>
  <c r="DH16" i="21"/>
  <c r="U14" i="16" s="1"/>
  <c r="DH13" i="21"/>
  <c r="U11" i="16" s="1"/>
  <c r="DH7" i="21"/>
  <c r="U5" i="16" s="1"/>
  <c r="CZ19" i="21"/>
  <c r="M17" i="16" s="1"/>
  <c r="BP7" i="21"/>
  <c r="CV17" i="21"/>
  <c r="I15" i="16" s="1"/>
  <c r="BR21" i="21"/>
  <c r="CW21" i="21" s="1"/>
  <c r="J19" i="16" s="1"/>
  <c r="CS9" i="21"/>
  <c r="F7" i="16" s="1"/>
  <c r="BP18" i="21"/>
  <c r="CU18" i="21" s="1"/>
  <c r="H16" i="16" s="1"/>
  <c r="BQ18" i="21"/>
  <c r="CV18" i="21" s="1"/>
  <c r="I16" i="16" s="1"/>
  <c r="BR9" i="21"/>
  <c r="CW10" i="21" s="1"/>
  <c r="J8" i="16" s="1"/>
  <c r="CT8" i="21"/>
  <c r="G6" i="16" s="1"/>
  <c r="BQ7" i="21"/>
  <c r="BQ24" i="21"/>
  <c r="BP15" i="21"/>
  <c r="CS11" i="21"/>
  <c r="F9" i="16" s="1"/>
  <c r="BQ14" i="21"/>
  <c r="CV15" i="21" s="1"/>
  <c r="I13" i="16" s="1"/>
  <c r="DA17" i="21"/>
  <c r="N15" i="16" s="1"/>
  <c r="CY19" i="21"/>
  <c r="L17" i="16" s="1"/>
  <c r="DC14" i="21"/>
  <c r="P12" i="16" s="1"/>
  <c r="DB19" i="21"/>
  <c r="O17" i="16" s="1"/>
  <c r="CW15" i="21"/>
  <c r="J13" i="16" s="1"/>
  <c r="DH9" i="21"/>
  <c r="U7" i="16" s="1"/>
  <c r="CU20" i="21"/>
  <c r="H18" i="16" s="1"/>
  <c r="CW20" i="21"/>
  <c r="J18" i="16" s="1"/>
  <c r="BR18" i="21"/>
  <c r="CW18" i="21" s="1"/>
  <c r="J16" i="16" s="1"/>
  <c r="BX7" i="21"/>
  <c r="BV7" i="21"/>
  <c r="BW7" i="21"/>
  <c r="BR7" i="21"/>
  <c r="CS16" i="21"/>
  <c r="F14" i="16" s="1"/>
  <c r="BU15" i="21"/>
  <c r="BT15" i="21"/>
  <c r="BQ9" i="21"/>
  <c r="CV10" i="21" s="1"/>
  <c r="I8" i="16" s="1"/>
  <c r="DB14" i="21"/>
  <c r="O12" i="16" s="1"/>
  <c r="DA19" i="21"/>
  <c r="N17" i="16" s="1"/>
  <c r="BP24" i="21"/>
  <c r="CS10" i="21"/>
  <c r="F8" i="16" s="1"/>
  <c r="BV14" i="21"/>
  <c r="DA15" i="21" s="1"/>
  <c r="N13" i="16" s="1"/>
  <c r="BW14" i="21"/>
  <c r="DB15" i="21" s="1"/>
  <c r="O13" i="16" s="1"/>
  <c r="BX14" i="21"/>
  <c r="DC15" i="21" s="1"/>
  <c r="P13" i="16" s="1"/>
  <c r="BT21" i="21"/>
  <c r="CY20" i="21" s="1"/>
  <c r="L18" i="16" s="1"/>
  <c r="BU21" i="21"/>
  <c r="CU19" i="21"/>
  <c r="H17" i="16" s="1"/>
  <c r="BQ21" i="21"/>
  <c r="BP23" i="21"/>
  <c r="CU22" i="21" s="1"/>
  <c r="H20" i="16" s="1"/>
  <c r="BQ23" i="21"/>
  <c r="CV22" i="21" s="1"/>
  <c r="I20" i="16" s="1"/>
  <c r="BR23" i="21"/>
  <c r="CW22" i="21" s="1"/>
  <c r="J20" i="16" s="1"/>
  <c r="BT7" i="21"/>
  <c r="BU7" i="21"/>
  <c r="BP14" i="21"/>
  <c r="BR24" i="21"/>
  <c r="DG10" i="21"/>
  <c r="T8" i="16" s="1"/>
  <c r="DG11" i="21"/>
  <c r="T9" i="16" s="1"/>
  <c r="BV21" i="21"/>
  <c r="BW21" i="21"/>
  <c r="BX21" i="21"/>
  <c r="CT10" i="21"/>
  <c r="G8" i="16" s="1"/>
  <c r="BT18" i="21"/>
  <c r="CY18" i="21" s="1"/>
  <c r="L16" i="16" s="1"/>
  <c r="BU18" i="21"/>
  <c r="CZ18" i="21" s="1"/>
  <c r="M16" i="16" s="1"/>
  <c r="CT7" i="21"/>
  <c r="G5" i="16" s="1"/>
  <c r="CS21" i="21"/>
  <c r="F19" i="16" s="1"/>
  <c r="BX8" i="21"/>
  <c r="DC8" i="21" s="1"/>
  <c r="P6" i="16" s="1"/>
  <c r="BV8" i="21"/>
  <c r="BW8" i="21"/>
  <c r="DB8" i="21" s="1"/>
  <c r="O6" i="16" s="1"/>
  <c r="BP9" i="21"/>
  <c r="DC19" i="21"/>
  <c r="P17" i="16" s="1"/>
  <c r="CT13" i="21"/>
  <c r="G11" i="16" s="1"/>
  <c r="BU14" i="21"/>
  <c r="CZ15" i="21" s="1"/>
  <c r="M13" i="16" s="1"/>
  <c r="BT14" i="21"/>
  <c r="CY15" i="21" s="1"/>
  <c r="L13" i="16" s="1"/>
  <c r="BX24" i="21"/>
  <c r="BV24" i="21"/>
  <c r="BW24" i="21"/>
  <c r="DB17" i="21"/>
  <c r="O15" i="16" s="1"/>
  <c r="BR15" i="21"/>
  <c r="BX11" i="21"/>
  <c r="BW11" i="21"/>
  <c r="BV11" i="21"/>
  <c r="DG9" i="21"/>
  <c r="T7" i="16" s="1"/>
  <c r="BT23" i="21"/>
  <c r="CY22" i="21" s="1"/>
  <c r="L20" i="16" s="1"/>
  <c r="BU23" i="21"/>
  <c r="CZ22" i="21" s="1"/>
  <c r="M20" i="16" s="1"/>
  <c r="BV15" i="21"/>
  <c r="BX15" i="21"/>
  <c r="BW15" i="21"/>
  <c r="BU9" i="21"/>
  <c r="BT9" i="21"/>
  <c r="CU17" i="21"/>
  <c r="H15" i="16" s="1"/>
  <c r="BW23" i="21"/>
  <c r="DB22" i="21" s="1"/>
  <c r="O20" i="16" s="1"/>
  <c r="BV23" i="21"/>
  <c r="DA22" i="21" s="1"/>
  <c r="N20" i="16" s="1"/>
  <c r="BX23" i="21"/>
  <c r="DC22" i="21" s="1"/>
  <c r="P20" i="16" s="1"/>
  <c r="BU8" i="21"/>
  <c r="BT8" i="21"/>
  <c r="DA14" i="21"/>
  <c r="N12" i="16" s="1"/>
  <c r="BR11" i="21"/>
  <c r="CW12" i="21" s="1"/>
  <c r="J10" i="16" s="1"/>
  <c r="BU24" i="21"/>
  <c r="BT24" i="21"/>
  <c r="CT21" i="21"/>
  <c r="G19" i="16" s="1"/>
  <c r="CW14" i="21"/>
  <c r="J12" i="16" s="1"/>
  <c r="CV19" i="21"/>
  <c r="I17" i="16" s="1"/>
  <c r="DC17" i="21"/>
  <c r="P15" i="16" s="1"/>
  <c r="CT11" i="21"/>
  <c r="G9" i="16" s="1"/>
  <c r="BX18" i="21"/>
  <c r="DC18" i="21" s="1"/>
  <c r="P16" i="16" s="1"/>
  <c r="BW18" i="21"/>
  <c r="DB18" i="21" s="1"/>
  <c r="O16" i="16" s="1"/>
  <c r="BV18" i="21"/>
  <c r="DA18" i="21" s="1"/>
  <c r="N16" i="16" s="1"/>
  <c r="BR8" i="21"/>
  <c r="BP8" i="21"/>
  <c r="BQ8" i="21"/>
  <c r="BU11" i="21"/>
  <c r="BT11" i="21"/>
  <c r="BX9" i="21"/>
  <c r="BV9" i="21"/>
  <c r="DA11" i="21" s="1"/>
  <c r="N9" i="16" s="1"/>
  <c r="BW9" i="21"/>
  <c r="BQ15" i="21"/>
  <c r="BQ11" i="21"/>
  <c r="BW6" i="21"/>
  <c r="BX6" i="21"/>
  <c r="BV6" i="21"/>
  <c r="BT6" i="21"/>
  <c r="BU6" i="21"/>
  <c r="BR6" i="21"/>
  <c r="BP6" i="21"/>
  <c r="BQ6" i="21"/>
  <c r="CU61" i="24"/>
  <c r="CD61" i="24"/>
  <c r="CJ61" i="24"/>
  <c r="CT61" i="24"/>
  <c r="CS61" i="24"/>
  <c r="CR61" i="24"/>
  <c r="CQ61" i="24"/>
  <c r="CA61" i="24"/>
  <c r="BZ61" i="24"/>
  <c r="BY61" i="24"/>
  <c r="CN61" i="24"/>
  <c r="CF61" i="24"/>
  <c r="CM61" i="24"/>
  <c r="BR61" i="24"/>
  <c r="CL61" i="24"/>
  <c r="BS61" i="24"/>
  <c r="CK61" i="24"/>
  <c r="BW61" i="24"/>
  <c r="CE61" i="24"/>
  <c r="CC61" i="24"/>
  <c r="CB61" i="24"/>
  <c r="CP61" i="24"/>
  <c r="CO61" i="24"/>
  <c r="BX61" i="24"/>
  <c r="BT61" i="24"/>
  <c r="CI61" i="24"/>
  <c r="BV61" i="24"/>
  <c r="CH61" i="24"/>
  <c r="BU61" i="24"/>
  <c r="CG61" i="24"/>
  <c r="CY7" i="21" l="1"/>
  <c r="L5" i="16" s="1"/>
  <c r="CV7" i="21"/>
  <c r="I5" i="16" s="1"/>
  <c r="CU7" i="21"/>
  <c r="H5" i="16" s="1"/>
  <c r="CW8" i="21"/>
  <c r="J6" i="16" s="1"/>
  <c r="CW7" i="21"/>
  <c r="J5" i="16" s="1"/>
  <c r="DB9" i="21"/>
  <c r="O7" i="16" s="1"/>
  <c r="CY8" i="21"/>
  <c r="L6" i="16" s="1"/>
  <c r="CV16" i="21"/>
  <c r="I14" i="16" s="1"/>
  <c r="DB7" i="21"/>
  <c r="O5" i="16" s="1"/>
  <c r="CV8" i="21"/>
  <c r="I6" i="16" s="1"/>
  <c r="DC16" i="21"/>
  <c r="P14" i="16" s="1"/>
  <c r="CW16" i="21"/>
  <c r="J14" i="16" s="1"/>
  <c r="CU13" i="21"/>
  <c r="H11" i="16" s="1"/>
  <c r="CW11" i="21"/>
  <c r="J9" i="16" s="1"/>
  <c r="CZ7" i="21"/>
  <c r="M5" i="16" s="1"/>
  <c r="CZ8" i="21"/>
  <c r="M6" i="16" s="1"/>
  <c r="CV11" i="21"/>
  <c r="I9" i="16" s="1"/>
  <c r="CY9" i="21"/>
  <c r="L7" i="16" s="1"/>
  <c r="DC7" i="21"/>
  <c r="P5" i="16" s="1"/>
  <c r="DB11" i="21"/>
  <c r="O9" i="16" s="1"/>
  <c r="DC9" i="21"/>
  <c r="P7" i="16" s="1"/>
  <c r="DA16" i="21"/>
  <c r="N14" i="16" s="1"/>
  <c r="CZ16" i="21"/>
  <c r="M14" i="16" s="1"/>
  <c r="CV12" i="21"/>
  <c r="I10" i="16" s="1"/>
  <c r="CV13" i="21"/>
  <c r="I11" i="16" s="1"/>
  <c r="CU9" i="21"/>
  <c r="H7" i="16" s="1"/>
  <c r="CU8" i="21"/>
  <c r="H6" i="16" s="1"/>
  <c r="DA12" i="21"/>
  <c r="N10" i="16" s="1"/>
  <c r="DA13" i="21"/>
  <c r="N11" i="16" s="1"/>
  <c r="DA7" i="21"/>
  <c r="N5" i="16" s="1"/>
  <c r="CY12" i="21"/>
  <c r="L10" i="16" s="1"/>
  <c r="CY13" i="21"/>
  <c r="L11" i="16" s="1"/>
  <c r="CZ9" i="21"/>
  <c r="M7" i="16" s="1"/>
  <c r="CY11" i="21"/>
  <c r="L9" i="16" s="1"/>
  <c r="DB12" i="21"/>
  <c r="O10" i="16" s="1"/>
  <c r="DB13" i="21"/>
  <c r="O11" i="16" s="1"/>
  <c r="DA10" i="21"/>
  <c r="N8" i="16" s="1"/>
  <c r="DA20" i="21"/>
  <c r="N18" i="16" s="1"/>
  <c r="DA21" i="21"/>
  <c r="N19" i="16" s="1"/>
  <c r="CU15" i="21"/>
  <c r="H13" i="16" s="1"/>
  <c r="CU16" i="21"/>
  <c r="H14" i="16" s="1"/>
  <c r="CZ20" i="21"/>
  <c r="M18" i="16" s="1"/>
  <c r="CZ21" i="21"/>
  <c r="M19" i="16" s="1"/>
  <c r="CZ10" i="21"/>
  <c r="M8" i="16" s="1"/>
  <c r="CW9" i="21"/>
  <c r="J7" i="16" s="1"/>
  <c r="CU11" i="21"/>
  <c r="H9" i="16" s="1"/>
  <c r="CU10" i="21"/>
  <c r="H8" i="16" s="1"/>
  <c r="CZ12" i="21"/>
  <c r="M10" i="16" s="1"/>
  <c r="CZ13" i="21"/>
  <c r="M11" i="16" s="1"/>
  <c r="DB16" i="21"/>
  <c r="O14" i="16" s="1"/>
  <c r="CY10" i="21"/>
  <c r="L8" i="16" s="1"/>
  <c r="DC12" i="21"/>
  <c r="P10" i="16" s="1"/>
  <c r="DC13" i="21"/>
  <c r="P11" i="16" s="1"/>
  <c r="DA9" i="21"/>
  <c r="N7" i="16" s="1"/>
  <c r="DA8" i="21"/>
  <c r="N6" i="16" s="1"/>
  <c r="CV9" i="21"/>
  <c r="I7" i="16" s="1"/>
  <c r="CZ11" i="21"/>
  <c r="M9" i="16" s="1"/>
  <c r="DB20" i="21"/>
  <c r="O18" i="16" s="1"/>
  <c r="DB21" i="21"/>
  <c r="O19" i="16" s="1"/>
  <c r="DC10" i="21"/>
  <c r="P8" i="16" s="1"/>
  <c r="DC20" i="21"/>
  <c r="P18" i="16" s="1"/>
  <c r="DC21" i="21"/>
  <c r="P19" i="16" s="1"/>
  <c r="CV20" i="21"/>
  <c r="I18" i="16" s="1"/>
  <c r="CV21" i="21"/>
  <c r="I19" i="16" s="1"/>
  <c r="CY16" i="21"/>
  <c r="L14" i="16" s="1"/>
  <c r="DC11" i="21"/>
  <c r="P9" i="16" s="1"/>
  <c r="DB10" i="21"/>
  <c r="O8" i="16" s="1"/>
  <c r="CY21" i="21"/>
  <c r="L19" i="16" s="1"/>
  <c r="CW13" i="21"/>
  <c r="J11" i="16" s="1"/>
  <c r="BX58" i="24"/>
  <c r="CL56" i="24"/>
  <c r="CQ56" i="24"/>
  <c r="CN57" i="24"/>
  <c r="CF57" i="24"/>
  <c r="BU55" i="24"/>
  <c r="CC53" i="24"/>
  <c r="CM56" i="24"/>
  <c r="CU60" i="24"/>
  <c r="CG59" i="24"/>
  <c r="CB56" i="24"/>
  <c r="CK58" i="24"/>
  <c r="CG53" i="24"/>
  <c r="CH56" i="24"/>
  <c r="CJ55" i="24"/>
  <c r="CJ60" i="24"/>
  <c r="BW56" i="24"/>
  <c r="CL60" i="24"/>
  <c r="BV60" i="24"/>
  <c r="CG55" i="24"/>
  <c r="CB55" i="24"/>
  <c r="BZ60" i="24"/>
  <c r="CS54" i="24"/>
  <c r="CS55" i="24"/>
  <c r="CM55" i="24"/>
  <c r="CE59" i="24"/>
  <c r="CE54" i="24"/>
  <c r="CK57" i="24"/>
  <c r="CM57" i="24"/>
  <c r="BX57" i="24"/>
  <c r="CT55" i="24"/>
  <c r="BU56" i="24"/>
  <c r="CF55" i="24"/>
  <c r="BT60" i="24"/>
  <c r="BU59" i="24"/>
  <c r="CQ58" i="24"/>
  <c r="BX60" i="24"/>
  <c r="BR55" i="24"/>
  <c r="CQ59" i="24"/>
  <c r="CK55" i="24"/>
  <c r="CL55" i="24"/>
  <c r="CA60" i="24"/>
  <c r="CL58" i="24"/>
  <c r="CF56" i="24"/>
  <c r="CC60" i="24"/>
  <c r="CB59" i="24"/>
  <c r="BW55" i="24"/>
  <c r="CF59" i="24"/>
  <c r="CN58" i="24"/>
  <c r="CK56" i="24"/>
  <c r="CA56" i="24"/>
  <c r="CN59" i="24"/>
  <c r="CL53" i="24"/>
  <c r="CA55" i="24"/>
  <c r="CK59" i="24"/>
  <c r="CA58" i="24"/>
  <c r="CC54" i="24"/>
  <c r="CE53" i="24"/>
  <c r="CF58" i="24"/>
  <c r="CI56" i="24"/>
  <c r="CS60" i="24"/>
  <c r="BT59" i="24"/>
  <c r="CJ59" i="24"/>
  <c r="CG54" i="24"/>
  <c r="BT53" i="24"/>
  <c r="BZ57" i="24"/>
  <c r="CG56" i="24"/>
  <c r="CH55" i="24"/>
  <c r="BT55" i="24"/>
  <c r="BS56" i="24"/>
  <c r="BR60" i="24"/>
  <c r="CC58" i="24"/>
  <c r="CF53" i="24"/>
  <c r="CQ55" i="24"/>
  <c r="CO57" i="24"/>
  <c r="CJ56" i="24"/>
  <c r="CU53" i="24"/>
  <c r="CH59" i="24"/>
  <c r="CI53" i="24"/>
  <c r="BY58" i="24"/>
  <c r="CB57" i="24"/>
  <c r="CL59" i="24"/>
  <c r="BX56" i="24"/>
  <c r="CP59" i="24"/>
  <c r="CU59" i="24"/>
  <c r="BV59" i="24"/>
  <c r="CG60" i="24"/>
  <c r="CS53" i="24"/>
  <c r="BT57" i="24"/>
  <c r="BV57" i="24"/>
  <c r="CC56" i="24"/>
  <c r="CD55" i="24"/>
  <c r="BV55" i="24"/>
  <c r="CH60" i="24"/>
  <c r="CM60" i="24"/>
  <c r="CP58" i="24"/>
  <c r="CR59" i="24"/>
  <c r="CC57" i="24"/>
  <c r="BY59" i="24"/>
  <c r="CQ57" i="24" l="1"/>
  <c r="CB58" i="24"/>
  <c r="BT56" i="24"/>
  <c r="BS55" i="24"/>
  <c r="CC55" i="24"/>
  <c r="BU60" i="24"/>
  <c r="BT58" i="24"/>
  <c r="BY57" i="24"/>
  <c r="CU54" i="24"/>
  <c r="CA57" i="24"/>
  <c r="CF54" i="24"/>
  <c r="BX55" i="24"/>
  <c r="BT54" i="24"/>
  <c r="CR60" i="24"/>
  <c r="CC59" i="24"/>
  <c r="BY60" i="24"/>
  <c r="CM59" i="24"/>
  <c r="CB60" i="24"/>
  <c r="CT56" i="24"/>
  <c r="BX59" i="24"/>
  <c r="CL54" i="24"/>
  <c r="CS59" i="24"/>
  <c r="CI55" i="24"/>
  <c r="BZ59" i="24"/>
  <c r="CN60" i="24"/>
  <c r="BZ58" i="24"/>
  <c r="CM58" i="24"/>
  <c r="CP57" i="24"/>
  <c r="CA59" i="24"/>
  <c r="BR59" i="24"/>
  <c r="CF60" i="24"/>
  <c r="BR56" i="24"/>
  <c r="BV56" i="24"/>
  <c r="CD56" i="24"/>
  <c r="CE60" i="24"/>
  <c r="CL57" i="24"/>
  <c r="CK60" i="24"/>
  <c r="BV58" i="24"/>
  <c r="CP60" i="24"/>
  <c r="CS56" i="24"/>
  <c r="CQ60" i="24"/>
  <c r="CO58" i="24"/>
  <c r="CI54" i="24"/>
  <c r="CO55" i="24"/>
  <c r="CJ58" i="24"/>
  <c r="BS58" i="24"/>
  <c r="CE56" i="24"/>
  <c r="BW58" i="24"/>
  <c r="CP54" i="24"/>
  <c r="CT58" i="24"/>
  <c r="CO60" i="24"/>
  <c r="CS58" i="24"/>
  <c r="CD60" i="24"/>
  <c r="CP56" i="24"/>
  <c r="CH58" i="24"/>
  <c r="BW60" i="24"/>
  <c r="BU58" i="24"/>
  <c r="CI59" i="24"/>
  <c r="CO56" i="24"/>
  <c r="CG58" i="24"/>
  <c r="CJ57" i="24"/>
  <c r="BS57" i="24"/>
  <c r="CE55" i="24"/>
  <c r="CP53" i="24"/>
  <c r="CT57" i="24"/>
  <c r="CO59" i="24"/>
  <c r="CS57" i="24"/>
  <c r="CD59" i="24"/>
  <c r="CP55" i="24"/>
  <c r="CH57" i="24"/>
  <c r="BW59" i="24"/>
  <c r="BU57" i="24"/>
  <c r="BW57" i="24"/>
  <c r="CU56" i="24"/>
  <c r="CI58" i="24"/>
  <c r="CA54" i="24"/>
  <c r="CE58" i="24"/>
  <c r="CT60" i="24"/>
  <c r="BY55" i="24"/>
  <c r="CN54" i="24"/>
  <c r="CR58" i="24"/>
  <c r="CD58" i="24"/>
  <c r="BZ56" i="24"/>
  <c r="BS60" i="24"/>
  <c r="CR56" i="24"/>
  <c r="BR58" i="24"/>
  <c r="CR54" i="24"/>
  <c r="CN56" i="24"/>
  <c r="CU58" i="24"/>
  <c r="CI60" i="24"/>
  <c r="CG57" i="24"/>
  <c r="CU55" i="24"/>
  <c r="CI57" i="24"/>
  <c r="CA53" i="24"/>
  <c r="CE57" i="24"/>
  <c r="CT59" i="24"/>
  <c r="BY56" i="24"/>
  <c r="CN53" i="24"/>
  <c r="CR57" i="24"/>
  <c r="CD57" i="24"/>
  <c r="BZ55" i="24"/>
  <c r="BS59" i="24"/>
  <c r="CR55" i="24"/>
  <c r="BR57" i="24"/>
  <c r="CR53" i="24"/>
  <c r="CN55" i="24"/>
  <c r="CU57" i="24"/>
  <c r="BS53" i="24" l="1"/>
  <c r="BR53" i="24"/>
  <c r="BR54" i="24" l="1"/>
  <c r="CB53" i="24"/>
  <c r="BS54" i="24"/>
  <c r="K54" i="16"/>
  <c r="K20" i="24" s="1"/>
  <c r="K20" i="25" s="1"/>
  <c r="U44" i="16"/>
  <c r="U10" i="24" s="1"/>
  <c r="U10" i="25" s="1"/>
  <c r="V60" i="16"/>
  <c r="V26" i="24" s="1"/>
  <c r="V26" i="25" s="1"/>
  <c r="P70" i="16"/>
  <c r="P36" i="24" s="1"/>
  <c r="P36" i="25" s="1"/>
  <c r="V46" i="16"/>
  <c r="V12" i="24" s="1"/>
  <c r="V12" i="25" s="1"/>
  <c r="V40" i="16"/>
  <c r="V6" i="24" s="1"/>
  <c r="V6" i="25" s="1"/>
  <c r="N58" i="16"/>
  <c r="N24" i="24" s="1"/>
  <c r="N24" i="25" s="1"/>
  <c r="K53" i="16" l="1"/>
  <c r="K19" i="24" s="1"/>
  <c r="K19" i="25" s="1"/>
  <c r="V45" i="16"/>
  <c r="CK12" i="24"/>
  <c r="V38" i="16"/>
  <c r="V4" i="24" s="1"/>
  <c r="V4" i="25" s="1"/>
  <c r="CR4" i="24"/>
  <c r="O38" i="16"/>
  <c r="M38" i="16"/>
  <c r="CQ53" i="24"/>
  <c r="CB54" i="24"/>
  <c r="BW53" i="24"/>
  <c r="BU53" i="24"/>
  <c r="J38" i="16"/>
  <c r="R38" i="16"/>
  <c r="I38" i="16"/>
  <c r="T38" i="16"/>
  <c r="K38" i="16"/>
  <c r="BV53" i="24"/>
  <c r="CK53" i="24"/>
  <c r="CT53" i="24"/>
  <c r="BX53" i="24"/>
  <c r="D38" i="16"/>
  <c r="CS4" i="24"/>
  <c r="CS63" i="24" s="1"/>
  <c r="U38" i="16"/>
  <c r="CU4" i="24"/>
  <c r="CU63" i="24" s="1"/>
  <c r="P38" i="16"/>
  <c r="CO53" i="24"/>
  <c r="BY53" i="24"/>
  <c r="BZ53" i="24"/>
  <c r="N38" i="16"/>
  <c r="Q38" i="16"/>
  <c r="L38" i="16"/>
  <c r="S38" i="16"/>
  <c r="G64" i="16"/>
  <c r="G30" i="24" s="1"/>
  <c r="G30" i="25" s="1"/>
  <c r="R62" i="16"/>
  <c r="R28" i="24" s="1"/>
  <c r="R28" i="25" s="1"/>
  <c r="BZ20" i="24"/>
  <c r="H54" i="16"/>
  <c r="H20" i="24" s="1"/>
  <c r="H20" i="25" s="1"/>
  <c r="I54" i="16"/>
  <c r="I20" i="24" s="1"/>
  <c r="I20" i="25" s="1"/>
  <c r="V44" i="16"/>
  <c r="V10" i="24" s="1"/>
  <c r="V10" i="25" s="1"/>
  <c r="N54" i="16"/>
  <c r="N20" i="24" s="1"/>
  <c r="N20" i="25" s="1"/>
  <c r="F54" i="16"/>
  <c r="F20" i="24" s="1"/>
  <c r="F20" i="25" s="1"/>
  <c r="I44" i="16"/>
  <c r="I10" i="24" s="1"/>
  <c r="I10" i="25" s="1"/>
  <c r="D54" i="16"/>
  <c r="D20" i="24" s="1"/>
  <c r="D20" i="25" s="1"/>
  <c r="CM19" i="24"/>
  <c r="CM14" i="24"/>
  <c r="J48" i="16"/>
  <c r="J14" i="24" s="1"/>
  <c r="J14" i="25" s="1"/>
  <c r="G50" i="16"/>
  <c r="G16" i="24" s="1"/>
  <c r="G16" i="25" s="1"/>
  <c r="J44" i="16"/>
  <c r="J10" i="24" s="1"/>
  <c r="J10" i="25" s="1"/>
  <c r="V42" i="16"/>
  <c r="V8" i="24" s="1"/>
  <c r="V8" i="25" s="1"/>
  <c r="R42" i="16"/>
  <c r="R8" i="24" s="1"/>
  <c r="R8" i="25" s="1"/>
  <c r="M52" i="16"/>
  <c r="M18" i="24" s="1"/>
  <c r="M18" i="25" s="1"/>
  <c r="V66" i="16"/>
  <c r="V32" i="24" s="1"/>
  <c r="V32" i="25" s="1"/>
  <c r="J42" i="16"/>
  <c r="J8" i="24" s="1"/>
  <c r="J8" i="25" s="1"/>
  <c r="M42" i="16"/>
  <c r="M8" i="24" s="1"/>
  <c r="M8" i="25" s="1"/>
  <c r="CO8" i="24"/>
  <c r="T42" i="16"/>
  <c r="T8" i="24" s="1"/>
  <c r="T8" i="25" s="1"/>
  <c r="D66" i="16"/>
  <c r="D32" i="24" s="1"/>
  <c r="D32" i="25" s="1"/>
  <c r="O48" i="16"/>
  <c r="O14" i="24" s="1"/>
  <c r="O14" i="25" s="1"/>
  <c r="D48" i="16"/>
  <c r="D14" i="24" s="1"/>
  <c r="D14" i="25" s="1"/>
  <c r="C66" i="16"/>
  <c r="C32" i="24" s="1"/>
  <c r="C32" i="25" s="1"/>
  <c r="H50" i="16"/>
  <c r="H16" i="24" s="1"/>
  <c r="H16" i="25" s="1"/>
  <c r="J54" i="16"/>
  <c r="J20" i="24" s="1"/>
  <c r="J20" i="25" s="1"/>
  <c r="CR19" i="24"/>
  <c r="G38" i="16"/>
  <c r="K58" i="16"/>
  <c r="K24" i="24" s="1"/>
  <c r="K24" i="25" s="1"/>
  <c r="L48" i="16"/>
  <c r="L14" i="24" s="1"/>
  <c r="L14" i="25" s="1"/>
  <c r="E48" i="16"/>
  <c r="E14" i="24" s="1"/>
  <c r="E14" i="25" s="1"/>
  <c r="H48" i="16"/>
  <c r="H14" i="24" s="1"/>
  <c r="H14" i="25" s="1"/>
  <c r="K66" i="16"/>
  <c r="K32" i="24" s="1"/>
  <c r="K32" i="25" s="1"/>
  <c r="R68" i="16"/>
  <c r="R34" i="24" s="1"/>
  <c r="R34" i="25" s="1"/>
  <c r="O54" i="16"/>
  <c r="O20" i="24" s="1"/>
  <c r="O20" i="25" s="1"/>
  <c r="R54" i="16"/>
  <c r="R20" i="24" s="1"/>
  <c r="R20" i="25" s="1"/>
  <c r="F48" i="16"/>
  <c r="F14" i="24" s="1"/>
  <c r="F14" i="25" s="1"/>
  <c r="N48" i="16"/>
  <c r="N14" i="24" s="1"/>
  <c r="N14" i="25" s="1"/>
  <c r="N62" i="16"/>
  <c r="N28" i="24" s="1"/>
  <c r="N28" i="25" s="1"/>
  <c r="H66" i="16"/>
  <c r="H32" i="24" s="1"/>
  <c r="H32" i="25" s="1"/>
  <c r="I60" i="16"/>
  <c r="I26" i="24" s="1"/>
  <c r="I26" i="25" s="1"/>
  <c r="D62" i="16"/>
  <c r="D28" i="24" s="1"/>
  <c r="D28" i="25" s="1"/>
  <c r="L62" i="16"/>
  <c r="L28" i="24" s="1"/>
  <c r="L28" i="25" s="1"/>
  <c r="V48" i="16"/>
  <c r="V14" i="24" s="1"/>
  <c r="V14" i="25" s="1"/>
  <c r="K48" i="16"/>
  <c r="K14" i="24" s="1"/>
  <c r="K14" i="25" s="1"/>
  <c r="P48" i="16"/>
  <c r="P14" i="24" s="1"/>
  <c r="P14" i="25" s="1"/>
  <c r="Q66" i="16"/>
  <c r="Q32" i="24" s="1"/>
  <c r="Q32" i="25" s="1"/>
  <c r="P66" i="16"/>
  <c r="P32" i="24" s="1"/>
  <c r="P32" i="25" s="1"/>
  <c r="I70" i="16"/>
  <c r="I36" i="24" s="1"/>
  <c r="I36" i="25" s="1"/>
  <c r="T44" i="16"/>
  <c r="T10" i="24" s="1"/>
  <c r="T10" i="25" s="1"/>
  <c r="K68" i="16"/>
  <c r="K34" i="24" s="1"/>
  <c r="K34" i="25" s="1"/>
  <c r="K62" i="16"/>
  <c r="K28" i="24" s="1"/>
  <c r="K28" i="25" s="1"/>
  <c r="G62" i="16"/>
  <c r="G28" i="24" s="1"/>
  <c r="G28" i="25" s="1"/>
  <c r="G70" i="16"/>
  <c r="G36" i="24" s="1"/>
  <c r="G36" i="25" s="1"/>
  <c r="E38" i="16"/>
  <c r="N46" i="16"/>
  <c r="N12" i="24" s="1"/>
  <c r="N12" i="25" s="1"/>
  <c r="H46" i="16"/>
  <c r="H12" i="24" s="1"/>
  <c r="H12" i="25" s="1"/>
  <c r="T46" i="16"/>
  <c r="T12" i="24" s="1"/>
  <c r="T12" i="25" s="1"/>
  <c r="L46" i="16"/>
  <c r="L12" i="24" s="1"/>
  <c r="L12" i="25" s="1"/>
  <c r="C46" i="16"/>
  <c r="C12" i="24" s="1"/>
  <c r="C12" i="25" s="1"/>
  <c r="CS11" i="24"/>
  <c r="K46" i="16"/>
  <c r="K12" i="24" s="1"/>
  <c r="K12" i="25" s="1"/>
  <c r="S46" i="16"/>
  <c r="S12" i="24" s="1"/>
  <c r="S12" i="25" s="1"/>
  <c r="D46" i="16"/>
  <c r="D12" i="24" s="1"/>
  <c r="D12" i="25" s="1"/>
  <c r="G46" i="16"/>
  <c r="G12" i="24" s="1"/>
  <c r="G12" i="25" s="1"/>
  <c r="R46" i="16"/>
  <c r="R12" i="24" s="1"/>
  <c r="R12" i="25" s="1"/>
  <c r="P46" i="16"/>
  <c r="P12" i="24" s="1"/>
  <c r="P12" i="25" s="1"/>
  <c r="E46" i="16"/>
  <c r="E12" i="24" s="1"/>
  <c r="E12" i="25" s="1"/>
  <c r="F46" i="16"/>
  <c r="F12" i="24" s="1"/>
  <c r="F12" i="25" s="1"/>
  <c r="U46" i="16"/>
  <c r="U12" i="24" s="1"/>
  <c r="U12" i="25" s="1"/>
  <c r="S56" i="16"/>
  <c r="S22" i="24" s="1"/>
  <c r="S22" i="25" s="1"/>
  <c r="F56" i="16"/>
  <c r="F22" i="24" s="1"/>
  <c r="F22" i="25" s="1"/>
  <c r="O46" i="16"/>
  <c r="O12" i="24" s="1"/>
  <c r="O12" i="25" s="1"/>
  <c r="J46" i="16"/>
  <c r="J12" i="24" s="1"/>
  <c r="J12" i="25" s="1"/>
  <c r="N52" i="16"/>
  <c r="N18" i="24" s="1"/>
  <c r="N18" i="25" s="1"/>
  <c r="F52" i="16"/>
  <c r="F18" i="24" s="1"/>
  <c r="F18" i="25" s="1"/>
  <c r="U52" i="16"/>
  <c r="U18" i="24" s="1"/>
  <c r="U18" i="25" s="1"/>
  <c r="D52" i="16"/>
  <c r="D18" i="24" s="1"/>
  <c r="D18" i="25" s="1"/>
  <c r="V52" i="16"/>
  <c r="V18" i="24" s="1"/>
  <c r="V18" i="25" s="1"/>
  <c r="P52" i="16"/>
  <c r="P18" i="24" s="1"/>
  <c r="P18" i="25" s="1"/>
  <c r="T52" i="16"/>
  <c r="T18" i="24" s="1"/>
  <c r="T18" i="25" s="1"/>
  <c r="H52" i="16"/>
  <c r="H18" i="24" s="1"/>
  <c r="H18" i="25" s="1"/>
  <c r="R52" i="16"/>
  <c r="R18" i="24" s="1"/>
  <c r="R18" i="25" s="1"/>
  <c r="E52" i="16"/>
  <c r="E18" i="24" s="1"/>
  <c r="E18" i="25" s="1"/>
  <c r="K52" i="16"/>
  <c r="K18" i="24" s="1"/>
  <c r="K18" i="25" s="1"/>
  <c r="V64" i="16"/>
  <c r="V30" i="24" s="1"/>
  <c r="V30" i="25" s="1"/>
  <c r="J64" i="16"/>
  <c r="J30" i="24" s="1"/>
  <c r="J30" i="25" s="1"/>
  <c r="L64" i="16"/>
  <c r="L30" i="24" s="1"/>
  <c r="L30" i="25" s="1"/>
  <c r="D64" i="16"/>
  <c r="D30" i="24" s="1"/>
  <c r="D30" i="25" s="1"/>
  <c r="H64" i="16"/>
  <c r="H30" i="24" s="1"/>
  <c r="H30" i="25" s="1"/>
  <c r="K64" i="16"/>
  <c r="K30" i="24" s="1"/>
  <c r="K30" i="25" s="1"/>
  <c r="M64" i="16"/>
  <c r="M30" i="24" s="1"/>
  <c r="M30" i="25" s="1"/>
  <c r="R64" i="16"/>
  <c r="R30" i="24" s="1"/>
  <c r="R30" i="25" s="1"/>
  <c r="F64" i="16"/>
  <c r="F30" i="24" s="1"/>
  <c r="F30" i="25" s="1"/>
  <c r="Q64" i="16"/>
  <c r="Q30" i="24" s="1"/>
  <c r="Q30" i="25" s="1"/>
  <c r="T64" i="16"/>
  <c r="T30" i="24" s="1"/>
  <c r="T30" i="25" s="1"/>
  <c r="E64" i="16"/>
  <c r="E30" i="24" s="1"/>
  <c r="E30" i="25" s="1"/>
  <c r="P64" i="16"/>
  <c r="P30" i="24" s="1"/>
  <c r="P30" i="25" s="1"/>
  <c r="I64" i="16"/>
  <c r="I30" i="24" s="1"/>
  <c r="I30" i="25" s="1"/>
  <c r="C64" i="16"/>
  <c r="C30" i="24" s="1"/>
  <c r="C30" i="25" s="1"/>
  <c r="N64" i="16"/>
  <c r="N30" i="24" s="1"/>
  <c r="N30" i="25" s="1"/>
  <c r="CO17" i="24"/>
  <c r="C38" i="16"/>
  <c r="I46" i="16"/>
  <c r="I12" i="24" s="1"/>
  <c r="I12" i="25" s="1"/>
  <c r="O52" i="16"/>
  <c r="O18" i="24" s="1"/>
  <c r="O18" i="25" s="1"/>
  <c r="O40" i="16"/>
  <c r="O6" i="24" s="1"/>
  <c r="O6" i="25" s="1"/>
  <c r="M40" i="16"/>
  <c r="M6" i="24" s="1"/>
  <c r="M6" i="25" s="1"/>
  <c r="T60" i="16"/>
  <c r="T26" i="24" s="1"/>
  <c r="T26" i="25" s="1"/>
  <c r="P60" i="16"/>
  <c r="P26" i="24" s="1"/>
  <c r="P26" i="25" s="1"/>
  <c r="C60" i="16"/>
  <c r="C26" i="24" s="1"/>
  <c r="C26" i="25" s="1"/>
  <c r="K60" i="16"/>
  <c r="K26" i="24" s="1"/>
  <c r="K26" i="25" s="1"/>
  <c r="R60" i="16"/>
  <c r="R26" i="24" s="1"/>
  <c r="R26" i="25" s="1"/>
  <c r="E60" i="16"/>
  <c r="E26" i="24" s="1"/>
  <c r="E26" i="25" s="1"/>
  <c r="M58" i="16"/>
  <c r="M24" i="24" s="1"/>
  <c r="M24" i="25" s="1"/>
  <c r="H62" i="16"/>
  <c r="H28" i="24" s="1"/>
  <c r="H28" i="25" s="1"/>
  <c r="V62" i="16"/>
  <c r="V28" i="24" s="1"/>
  <c r="V28" i="25" s="1"/>
  <c r="J40" i="16"/>
  <c r="J6" i="24" s="1"/>
  <c r="J6" i="25" s="1"/>
  <c r="I66" i="16"/>
  <c r="I32" i="24" s="1"/>
  <c r="I32" i="25" s="1"/>
  <c r="F66" i="16"/>
  <c r="F32" i="24" s="1"/>
  <c r="F32" i="25" s="1"/>
  <c r="E66" i="16"/>
  <c r="E32" i="24" s="1"/>
  <c r="E32" i="25" s="1"/>
  <c r="T66" i="16"/>
  <c r="T32" i="24" s="1"/>
  <c r="T32" i="25" s="1"/>
  <c r="N66" i="16"/>
  <c r="N32" i="24" s="1"/>
  <c r="N32" i="25" s="1"/>
  <c r="G66" i="16"/>
  <c r="G32" i="24" s="1"/>
  <c r="G32" i="25" s="1"/>
  <c r="L66" i="16"/>
  <c r="L32" i="24" s="1"/>
  <c r="L32" i="25" s="1"/>
  <c r="R66" i="16"/>
  <c r="R32" i="24" s="1"/>
  <c r="R32" i="25" s="1"/>
  <c r="M66" i="16"/>
  <c r="M32" i="24" s="1"/>
  <c r="M32" i="25" s="1"/>
  <c r="J66" i="16"/>
  <c r="J32" i="24" s="1"/>
  <c r="J32" i="25" s="1"/>
  <c r="F50" i="16"/>
  <c r="F16" i="24" s="1"/>
  <c r="F16" i="25" s="1"/>
  <c r="T50" i="16"/>
  <c r="T16" i="24" s="1"/>
  <c r="T16" i="25" s="1"/>
  <c r="N50" i="16"/>
  <c r="N16" i="24" s="1"/>
  <c r="N16" i="25" s="1"/>
  <c r="I50" i="16"/>
  <c r="I16" i="24" s="1"/>
  <c r="I16" i="25" s="1"/>
  <c r="U50" i="16"/>
  <c r="U16" i="24" s="1"/>
  <c r="U16" i="25" s="1"/>
  <c r="V50" i="16"/>
  <c r="V16" i="24" s="1"/>
  <c r="V16" i="25" s="1"/>
  <c r="M50" i="16"/>
  <c r="M16" i="24" s="1"/>
  <c r="M16" i="25" s="1"/>
  <c r="D50" i="16"/>
  <c r="D16" i="24" s="1"/>
  <c r="D16" i="25" s="1"/>
  <c r="Q50" i="16"/>
  <c r="Q16" i="24" s="1"/>
  <c r="Q16" i="25" s="1"/>
  <c r="C50" i="16"/>
  <c r="C16" i="24" s="1"/>
  <c r="C16" i="25" s="1"/>
  <c r="R50" i="16"/>
  <c r="R16" i="24" s="1"/>
  <c r="R16" i="25" s="1"/>
  <c r="E50" i="16"/>
  <c r="E16" i="24" s="1"/>
  <c r="E16" i="25" s="1"/>
  <c r="L50" i="16"/>
  <c r="L16" i="24" s="1"/>
  <c r="L16" i="25" s="1"/>
  <c r="I48" i="16"/>
  <c r="I14" i="24" s="1"/>
  <c r="I14" i="25" s="1"/>
  <c r="G48" i="16"/>
  <c r="G14" i="24" s="1"/>
  <c r="G14" i="25" s="1"/>
  <c r="F70" i="16"/>
  <c r="F36" i="24" s="1"/>
  <c r="F36" i="25" s="1"/>
  <c r="M54" i="16"/>
  <c r="M20" i="24" s="1"/>
  <c r="M20" i="25" s="1"/>
  <c r="T54" i="16"/>
  <c r="T20" i="24" s="1"/>
  <c r="T20" i="25" s="1"/>
  <c r="G54" i="16"/>
  <c r="G20" i="24" s="1"/>
  <c r="G20" i="25" s="1"/>
  <c r="E54" i="16"/>
  <c r="E20" i="24" s="1"/>
  <c r="E20" i="25" s="1"/>
  <c r="L54" i="16"/>
  <c r="L20" i="24" s="1"/>
  <c r="L20" i="25" s="1"/>
  <c r="E40" i="16"/>
  <c r="E6" i="24" s="1"/>
  <c r="E6" i="25" s="1"/>
  <c r="C40" i="16"/>
  <c r="C6" i="24" s="1"/>
  <c r="C6" i="25" s="1"/>
  <c r="F40" i="16"/>
  <c r="F6" i="24" s="1"/>
  <c r="F6" i="25" s="1"/>
  <c r="Q40" i="16"/>
  <c r="Q6" i="24" s="1"/>
  <c r="Q6" i="25" s="1"/>
  <c r="T40" i="16"/>
  <c r="T6" i="24" s="1"/>
  <c r="T6" i="25" s="1"/>
  <c r="H40" i="16"/>
  <c r="H6" i="24" s="1"/>
  <c r="H6" i="25" s="1"/>
  <c r="C56" i="16"/>
  <c r="C22" i="24" s="1"/>
  <c r="C22" i="25" s="1"/>
  <c r="N56" i="16"/>
  <c r="N22" i="24" s="1"/>
  <c r="N22" i="25" s="1"/>
  <c r="J56" i="16"/>
  <c r="J22" i="24" s="1"/>
  <c r="J22" i="25" s="1"/>
  <c r="V56" i="16"/>
  <c r="V22" i="24" s="1"/>
  <c r="V22" i="25" s="1"/>
  <c r="U56" i="16"/>
  <c r="U22" i="24" s="1"/>
  <c r="U22" i="25" s="1"/>
  <c r="G56" i="16"/>
  <c r="G22" i="24" s="1"/>
  <c r="G22" i="25" s="1"/>
  <c r="E56" i="16"/>
  <c r="E22" i="24" s="1"/>
  <c r="E22" i="25" s="1"/>
  <c r="T56" i="16"/>
  <c r="T22" i="24" s="1"/>
  <c r="T22" i="25" s="1"/>
  <c r="I56" i="16"/>
  <c r="I22" i="24" s="1"/>
  <c r="I22" i="25" s="1"/>
  <c r="M56" i="16"/>
  <c r="M22" i="24" s="1"/>
  <c r="M22" i="25" s="1"/>
  <c r="H38" i="16"/>
  <c r="F38" i="16"/>
  <c r="G58" i="16"/>
  <c r="G24" i="24" s="1"/>
  <c r="G24" i="25" s="1"/>
  <c r="E58" i="16"/>
  <c r="E24" i="24" s="1"/>
  <c r="E24" i="25" s="1"/>
  <c r="T58" i="16"/>
  <c r="T24" i="24" s="1"/>
  <c r="T24" i="25" s="1"/>
  <c r="O58" i="16"/>
  <c r="O24" i="24" s="1"/>
  <c r="O24" i="25" s="1"/>
  <c r="Q58" i="16"/>
  <c r="Q24" i="24" s="1"/>
  <c r="Q24" i="25" s="1"/>
  <c r="I62" i="16"/>
  <c r="I28" i="24" s="1"/>
  <c r="I28" i="25" s="1"/>
  <c r="F62" i="16"/>
  <c r="F28" i="24" s="1"/>
  <c r="F28" i="25" s="1"/>
  <c r="Q62" i="16"/>
  <c r="Q28" i="24" s="1"/>
  <c r="Q28" i="25" s="1"/>
  <c r="N40" i="16"/>
  <c r="N6" i="24" s="1"/>
  <c r="N6" i="25" s="1"/>
  <c r="U40" i="16"/>
  <c r="U6" i="24" s="1"/>
  <c r="U6" i="25" s="1"/>
  <c r="C52" i="16"/>
  <c r="C18" i="24" s="1"/>
  <c r="C18" i="25" s="1"/>
  <c r="G52" i="16"/>
  <c r="G18" i="24" s="1"/>
  <c r="G18" i="25" s="1"/>
  <c r="S52" i="16"/>
  <c r="S18" i="24" s="1"/>
  <c r="S18" i="25" s="1"/>
  <c r="I52" i="16"/>
  <c r="I18" i="24" s="1"/>
  <c r="I18" i="25" s="1"/>
  <c r="Q42" i="16"/>
  <c r="Q8" i="24" s="1"/>
  <c r="Q8" i="25" s="1"/>
  <c r="L42" i="16"/>
  <c r="L8" i="24" s="1"/>
  <c r="L8" i="25" s="1"/>
  <c r="D42" i="16"/>
  <c r="D8" i="24" s="1"/>
  <c r="D8" i="25" s="1"/>
  <c r="K56" i="16"/>
  <c r="K22" i="24" s="1"/>
  <c r="K22" i="25" s="1"/>
  <c r="H56" i="16"/>
  <c r="H22" i="24" s="1"/>
  <c r="H22" i="25" s="1"/>
  <c r="O56" i="16"/>
  <c r="O22" i="24" s="1"/>
  <c r="O22" i="25" s="1"/>
  <c r="H44" i="16"/>
  <c r="H10" i="24" s="1"/>
  <c r="H10" i="25" s="1"/>
  <c r="T68" i="16"/>
  <c r="T34" i="24" s="1"/>
  <c r="T34" i="25" s="1"/>
  <c r="P68" i="16"/>
  <c r="P34" i="24" s="1"/>
  <c r="P34" i="25" s="1"/>
  <c r="G68" i="16"/>
  <c r="G34" i="24" s="1"/>
  <c r="G34" i="25" s="1"/>
  <c r="D68" i="16"/>
  <c r="D34" i="24" s="1"/>
  <c r="D34" i="25" s="1"/>
  <c r="C68" i="16"/>
  <c r="C34" i="24" s="1"/>
  <c r="C34" i="25" s="1"/>
  <c r="F68" i="16"/>
  <c r="F34" i="24" s="1"/>
  <c r="F34" i="25" s="1"/>
  <c r="V68" i="16"/>
  <c r="V34" i="24" s="1"/>
  <c r="V34" i="25" s="1"/>
  <c r="M68" i="16"/>
  <c r="M34" i="24" s="1"/>
  <c r="M34" i="25" s="1"/>
  <c r="J68" i="16"/>
  <c r="J34" i="24" s="1"/>
  <c r="J34" i="25" s="1"/>
  <c r="E68" i="16"/>
  <c r="E34" i="24" s="1"/>
  <c r="E34" i="25" s="1"/>
  <c r="L68" i="16"/>
  <c r="L34" i="24" s="1"/>
  <c r="L34" i="25" s="1"/>
  <c r="I68" i="16"/>
  <c r="I34" i="24" s="1"/>
  <c r="I34" i="25" s="1"/>
  <c r="Q68" i="16"/>
  <c r="Q34" i="24" s="1"/>
  <c r="Q34" i="25" s="1"/>
  <c r="N68" i="16"/>
  <c r="N34" i="24" s="1"/>
  <c r="N34" i="25" s="1"/>
  <c r="H68" i="16"/>
  <c r="H34" i="24" s="1"/>
  <c r="H34" i="25" s="1"/>
  <c r="D58" i="16"/>
  <c r="D24" i="24" s="1"/>
  <c r="D24" i="25" s="1"/>
  <c r="I58" i="16"/>
  <c r="I24" i="24" s="1"/>
  <c r="I24" i="25" s="1"/>
  <c r="U58" i="16"/>
  <c r="U24" i="24" s="1"/>
  <c r="U24" i="25" s="1"/>
  <c r="H58" i="16"/>
  <c r="H24" i="24" s="1"/>
  <c r="H24" i="25" s="1"/>
  <c r="F58" i="16"/>
  <c r="F24" i="24" s="1"/>
  <c r="F24" i="25" s="1"/>
  <c r="C58" i="16"/>
  <c r="C24" i="24" s="1"/>
  <c r="C24" i="25" s="1"/>
  <c r="V58" i="16"/>
  <c r="V24" i="24" s="1"/>
  <c r="V24" i="25" s="1"/>
  <c r="C62" i="16"/>
  <c r="C28" i="24" s="1"/>
  <c r="C28" i="25" s="1"/>
  <c r="T62" i="16"/>
  <c r="T28" i="24" s="1"/>
  <c r="T28" i="25" s="1"/>
  <c r="M62" i="16"/>
  <c r="M28" i="24" s="1"/>
  <c r="M28" i="25" s="1"/>
  <c r="P62" i="16"/>
  <c r="P28" i="24" s="1"/>
  <c r="P28" i="25" s="1"/>
  <c r="K40" i="16"/>
  <c r="K6" i="24" s="1"/>
  <c r="K6" i="25" s="1"/>
  <c r="S40" i="16"/>
  <c r="S6" i="24" s="1"/>
  <c r="S6" i="25" s="1"/>
  <c r="I40" i="16"/>
  <c r="I6" i="24" s="1"/>
  <c r="I6" i="25" s="1"/>
  <c r="D40" i="16"/>
  <c r="D6" i="24" s="1"/>
  <c r="D6" i="25" s="1"/>
  <c r="L52" i="16"/>
  <c r="L18" i="24" s="1"/>
  <c r="L18" i="25" s="1"/>
  <c r="Q52" i="16"/>
  <c r="Q18" i="24" s="1"/>
  <c r="Q18" i="25" s="1"/>
  <c r="J52" i="16"/>
  <c r="J18" i="24" s="1"/>
  <c r="J18" i="25" s="1"/>
  <c r="I42" i="16"/>
  <c r="I8" i="24" s="1"/>
  <c r="I8" i="25" s="1"/>
  <c r="U42" i="16"/>
  <c r="U8" i="24" s="1"/>
  <c r="U8" i="25" s="1"/>
  <c r="Q56" i="16"/>
  <c r="Q22" i="24" s="1"/>
  <c r="Q22" i="25" s="1"/>
  <c r="D56" i="16"/>
  <c r="D22" i="24" s="1"/>
  <c r="D22" i="25" s="1"/>
  <c r="R56" i="16"/>
  <c r="R22" i="24" s="1"/>
  <c r="R22" i="25" s="1"/>
  <c r="R44" i="16"/>
  <c r="R10" i="24" s="1"/>
  <c r="R10" i="25" s="1"/>
  <c r="S44" i="16"/>
  <c r="S10" i="24" s="1"/>
  <c r="S10" i="25" s="1"/>
  <c r="L44" i="16"/>
  <c r="L10" i="24" s="1"/>
  <c r="L10" i="25" s="1"/>
  <c r="N44" i="16"/>
  <c r="N10" i="24" s="1"/>
  <c r="N10" i="25" s="1"/>
  <c r="M44" i="16"/>
  <c r="M10" i="24" s="1"/>
  <c r="M10" i="25" s="1"/>
  <c r="G44" i="16"/>
  <c r="G10" i="24" s="1"/>
  <c r="G10" i="25" s="1"/>
  <c r="P44" i="16"/>
  <c r="P10" i="24" s="1"/>
  <c r="P10" i="25" s="1"/>
  <c r="D44" i="16"/>
  <c r="D10" i="24" s="1"/>
  <c r="D10" i="25" s="1"/>
  <c r="O44" i="16"/>
  <c r="O10" i="24" s="1"/>
  <c r="O10" i="25" s="1"/>
  <c r="C44" i="16"/>
  <c r="C10" i="24" s="1"/>
  <c r="C10" i="25" s="1"/>
  <c r="Q44" i="16"/>
  <c r="Q10" i="24" s="1"/>
  <c r="Q10" i="25" s="1"/>
  <c r="K44" i="16"/>
  <c r="K10" i="24" s="1"/>
  <c r="K10" i="25" s="1"/>
  <c r="E44" i="16"/>
  <c r="E10" i="24" s="1"/>
  <c r="E10" i="25" s="1"/>
  <c r="F44" i="16"/>
  <c r="F10" i="24" s="1"/>
  <c r="F10" i="25" s="1"/>
  <c r="S58" i="16"/>
  <c r="S24" i="24" s="1"/>
  <c r="S24" i="25" s="1"/>
  <c r="J58" i="16"/>
  <c r="J24" i="24" s="1"/>
  <c r="J24" i="25" s="1"/>
  <c r="R58" i="16"/>
  <c r="R24" i="24" s="1"/>
  <c r="R24" i="25" s="1"/>
  <c r="P58" i="16"/>
  <c r="P24" i="24" s="1"/>
  <c r="P24" i="25" s="1"/>
  <c r="L58" i="16"/>
  <c r="L24" i="24" s="1"/>
  <c r="L24" i="25" s="1"/>
  <c r="J62" i="16"/>
  <c r="J28" i="24" s="1"/>
  <c r="J28" i="25" s="1"/>
  <c r="E62" i="16"/>
  <c r="E28" i="24" s="1"/>
  <c r="E28" i="25" s="1"/>
  <c r="R40" i="16"/>
  <c r="R6" i="24" s="1"/>
  <c r="R6" i="25" s="1"/>
  <c r="P40" i="16"/>
  <c r="P6" i="24" s="1"/>
  <c r="P6" i="25" s="1"/>
  <c r="G40" i="16"/>
  <c r="G6" i="24" s="1"/>
  <c r="G6" i="25" s="1"/>
  <c r="L40" i="16"/>
  <c r="L6" i="24" s="1"/>
  <c r="L6" i="25" s="1"/>
  <c r="N42" i="16"/>
  <c r="N8" i="24" s="1"/>
  <c r="N8" i="25" s="1"/>
  <c r="C42" i="16"/>
  <c r="C8" i="24" s="1"/>
  <c r="C8" i="25" s="1"/>
  <c r="H42" i="16"/>
  <c r="H8" i="24" s="1"/>
  <c r="H8" i="25" s="1"/>
  <c r="E42" i="16"/>
  <c r="E8" i="24" s="1"/>
  <c r="E8" i="25" s="1"/>
  <c r="F42" i="16"/>
  <c r="F8" i="24" s="1"/>
  <c r="F8" i="25" s="1"/>
  <c r="P42" i="16"/>
  <c r="P8" i="24" s="1"/>
  <c r="P8" i="25" s="1"/>
  <c r="K42" i="16"/>
  <c r="K8" i="24" s="1"/>
  <c r="K8" i="25" s="1"/>
  <c r="O42" i="16"/>
  <c r="O8" i="24" s="1"/>
  <c r="O8" i="25" s="1"/>
  <c r="G42" i="16"/>
  <c r="G8" i="24" s="1"/>
  <c r="G8" i="25" s="1"/>
  <c r="S42" i="16"/>
  <c r="S8" i="24" s="1"/>
  <c r="S8" i="25" s="1"/>
  <c r="P56" i="16"/>
  <c r="P22" i="24" s="1"/>
  <c r="P22" i="25" s="1"/>
  <c r="L56" i="16"/>
  <c r="L22" i="24" s="1"/>
  <c r="L22" i="25" s="1"/>
  <c r="D70" i="16"/>
  <c r="D36" i="24" s="1"/>
  <c r="D36" i="25" s="1"/>
  <c r="H70" i="16"/>
  <c r="H36" i="24" s="1"/>
  <c r="H36" i="25" s="1"/>
  <c r="M70" i="16"/>
  <c r="M36" i="24" s="1"/>
  <c r="M36" i="25" s="1"/>
  <c r="T70" i="16"/>
  <c r="T36" i="24" s="1"/>
  <c r="T36" i="25" s="1"/>
  <c r="L70" i="16"/>
  <c r="L36" i="24" s="1"/>
  <c r="L36" i="25" s="1"/>
  <c r="V70" i="16"/>
  <c r="V36" i="24" s="1"/>
  <c r="V36" i="25" s="1"/>
  <c r="E70" i="16"/>
  <c r="E36" i="24" s="1"/>
  <c r="E36" i="25" s="1"/>
  <c r="J70" i="16"/>
  <c r="J36" i="24" s="1"/>
  <c r="J36" i="25" s="1"/>
  <c r="Q70" i="16"/>
  <c r="Q36" i="24" s="1"/>
  <c r="Q36" i="25" s="1"/>
  <c r="C70" i="16"/>
  <c r="C36" i="24" s="1"/>
  <c r="C36" i="25" s="1"/>
  <c r="R70" i="16"/>
  <c r="R36" i="24" s="1"/>
  <c r="R36" i="25" s="1"/>
  <c r="N70" i="16"/>
  <c r="N36" i="24" s="1"/>
  <c r="N36" i="25" s="1"/>
  <c r="K70" i="16"/>
  <c r="K36" i="24" s="1"/>
  <c r="K36" i="25" s="1"/>
  <c r="Q46" i="16"/>
  <c r="Q12" i="24" s="1"/>
  <c r="Q12" i="25" s="1"/>
  <c r="M46" i="16"/>
  <c r="M12" i="24" s="1"/>
  <c r="M12" i="25" s="1"/>
  <c r="S48" i="16"/>
  <c r="S14" i="24" s="1"/>
  <c r="S14" i="25" s="1"/>
  <c r="M48" i="16"/>
  <c r="M14" i="24" s="1"/>
  <c r="M14" i="25" s="1"/>
  <c r="T48" i="16"/>
  <c r="T14" i="24" s="1"/>
  <c r="T14" i="25" s="1"/>
  <c r="U48" i="16"/>
  <c r="U14" i="24" s="1"/>
  <c r="U14" i="25" s="1"/>
  <c r="Q48" i="16"/>
  <c r="Q14" i="24" s="1"/>
  <c r="Q14" i="25" s="1"/>
  <c r="R48" i="16"/>
  <c r="R14" i="24" s="1"/>
  <c r="R14" i="25" s="1"/>
  <c r="C48" i="16"/>
  <c r="C14" i="24" s="1"/>
  <c r="C14" i="25" s="1"/>
  <c r="S50" i="16"/>
  <c r="S16" i="24" s="1"/>
  <c r="S16" i="25" s="1"/>
  <c r="J50" i="16"/>
  <c r="J16" i="24" s="1"/>
  <c r="J16" i="25" s="1"/>
  <c r="P50" i="16"/>
  <c r="P16" i="24" s="1"/>
  <c r="P16" i="25" s="1"/>
  <c r="O50" i="16"/>
  <c r="O16" i="24" s="1"/>
  <c r="O16" i="25" s="1"/>
  <c r="K50" i="16"/>
  <c r="K16" i="24" s="1"/>
  <c r="K16" i="25" s="1"/>
  <c r="G60" i="16"/>
  <c r="G26" i="24" s="1"/>
  <c r="G26" i="25" s="1"/>
  <c r="N60" i="16"/>
  <c r="N26" i="24" s="1"/>
  <c r="N26" i="25" s="1"/>
  <c r="Q60" i="16"/>
  <c r="Q26" i="24" s="1"/>
  <c r="Q26" i="25" s="1"/>
  <c r="D60" i="16"/>
  <c r="D26" i="24" s="1"/>
  <c r="D26" i="25" s="1"/>
  <c r="C54" i="16"/>
  <c r="C20" i="24" s="1"/>
  <c r="C20" i="25" s="1"/>
  <c r="U54" i="16"/>
  <c r="U20" i="24" s="1"/>
  <c r="U20" i="25" s="1"/>
  <c r="V54" i="16"/>
  <c r="V20" i="24" s="1"/>
  <c r="V20" i="25" s="1"/>
  <c r="S54" i="16"/>
  <c r="S20" i="24" s="1"/>
  <c r="S20" i="25" s="1"/>
  <c r="Q54" i="16"/>
  <c r="Q20" i="24" s="1"/>
  <c r="Q20" i="25" s="1"/>
  <c r="P54" i="16"/>
  <c r="P20" i="24" s="1"/>
  <c r="P20" i="25" s="1"/>
  <c r="M60" i="16"/>
  <c r="M26" i="24" s="1"/>
  <c r="M26" i="25" s="1"/>
  <c r="H60" i="16"/>
  <c r="H26" i="24" s="1"/>
  <c r="H26" i="25" s="1"/>
  <c r="L60" i="16"/>
  <c r="L26" i="24" s="1"/>
  <c r="L26" i="25" s="1"/>
  <c r="F60" i="16"/>
  <c r="F26" i="24" s="1"/>
  <c r="F26" i="25" s="1"/>
  <c r="J60" i="16"/>
  <c r="J26" i="24" s="1"/>
  <c r="J26" i="25" s="1"/>
  <c r="CO18" i="24"/>
  <c r="U43" i="16"/>
  <c r="U9" i="24" s="1"/>
  <c r="U9" i="25" s="1"/>
  <c r="V39" i="16"/>
  <c r="V5" i="24" s="1"/>
  <c r="V5" i="25" s="1"/>
  <c r="BZ19" i="24"/>
  <c r="V59" i="16"/>
  <c r="V25" i="24" s="1"/>
  <c r="V25" i="25" s="1"/>
  <c r="P69" i="16"/>
  <c r="P35" i="24" s="1"/>
  <c r="P35" i="25" s="1"/>
  <c r="N57" i="16"/>
  <c r="N23" i="24" s="1"/>
  <c r="N23" i="25" s="1"/>
  <c r="H39" i="16" l="1"/>
  <c r="H4" i="24"/>
  <c r="H4" i="25" s="1"/>
  <c r="S39" i="16"/>
  <c r="S5" i="24" s="1"/>
  <c r="S4" i="24"/>
  <c r="S4" i="25" s="1"/>
  <c r="K39" i="16"/>
  <c r="K5" i="24" s="1"/>
  <c r="K5" i="25" s="1"/>
  <c r="K4" i="24"/>
  <c r="K4" i="25" s="1"/>
  <c r="J39" i="16"/>
  <c r="J5" i="24" s="1"/>
  <c r="J5" i="25" s="1"/>
  <c r="J4" i="24"/>
  <c r="J4" i="25" s="1"/>
  <c r="G39" i="16"/>
  <c r="G4" i="24"/>
  <c r="G4" i="25" s="1"/>
  <c r="L39" i="16"/>
  <c r="L4" i="24"/>
  <c r="L4" i="25" s="1"/>
  <c r="U39" i="16"/>
  <c r="U4" i="24"/>
  <c r="U4" i="25" s="1"/>
  <c r="T39" i="16"/>
  <c r="T5" i="24" s="1"/>
  <c r="T5" i="25" s="1"/>
  <c r="T4" i="24"/>
  <c r="T4" i="25" s="1"/>
  <c r="M39" i="16"/>
  <c r="M4" i="24"/>
  <c r="M4" i="25" s="1"/>
  <c r="C39" i="16"/>
  <c r="C5" i="24" s="1"/>
  <c r="C5" i="25" s="1"/>
  <c r="C4" i="24"/>
  <c r="C4" i="25" s="1"/>
  <c r="E39" i="16"/>
  <c r="E5" i="24" s="1"/>
  <c r="E5" i="25" s="1"/>
  <c r="E4" i="24"/>
  <c r="E4" i="25" s="1"/>
  <c r="Q39" i="16"/>
  <c r="Q4" i="24"/>
  <c r="Q4" i="25" s="1"/>
  <c r="I39" i="16"/>
  <c r="I4" i="24"/>
  <c r="I4" i="25" s="1"/>
  <c r="O39" i="16"/>
  <c r="O5" i="24" s="1"/>
  <c r="O5" i="25" s="1"/>
  <c r="O4" i="24"/>
  <c r="O4" i="25" s="1"/>
  <c r="V11" i="24"/>
  <c r="V11" i="25" s="1"/>
  <c r="F39" i="16"/>
  <c r="F5" i="24" s="1"/>
  <c r="F5" i="25" s="1"/>
  <c r="F4" i="24"/>
  <c r="F4" i="25" s="1"/>
  <c r="N39" i="16"/>
  <c r="N4" i="24"/>
  <c r="N4" i="25" s="1"/>
  <c r="P39" i="16"/>
  <c r="P4" i="24"/>
  <c r="P4" i="25" s="1"/>
  <c r="D39" i="16"/>
  <c r="D5" i="24" s="1"/>
  <c r="D5" i="25" s="1"/>
  <c r="D4" i="24"/>
  <c r="D4" i="25" s="1"/>
  <c r="R39" i="16"/>
  <c r="R4" i="24"/>
  <c r="R4" i="25" s="1"/>
  <c r="CC4" i="24"/>
  <c r="CJ4" i="24"/>
  <c r="CB4" i="24"/>
  <c r="P43" i="16"/>
  <c r="L43" i="16"/>
  <c r="L9" i="24" s="1"/>
  <c r="L9" i="25" s="1"/>
  <c r="CA10" i="24"/>
  <c r="U41" i="16"/>
  <c r="I5" i="24"/>
  <c r="I5" i="25" s="1"/>
  <c r="I57" i="16"/>
  <c r="H47" i="16"/>
  <c r="H13" i="24" s="1"/>
  <c r="H13" i="25" s="1"/>
  <c r="BW14" i="24"/>
  <c r="G43" i="16"/>
  <c r="G9" i="24" s="1"/>
  <c r="G9" i="25" s="1"/>
  <c r="CH6" i="24"/>
  <c r="I67" i="16"/>
  <c r="I33" i="24" s="1"/>
  <c r="I33" i="25" s="1"/>
  <c r="BX34" i="24"/>
  <c r="E67" i="16"/>
  <c r="E33" i="24" s="1"/>
  <c r="E33" i="25" s="1"/>
  <c r="F67" i="16"/>
  <c r="F33" i="24" s="1"/>
  <c r="F33" i="25" s="1"/>
  <c r="H55" i="16"/>
  <c r="H21" i="24" s="1"/>
  <c r="H21" i="25" s="1"/>
  <c r="Q41" i="16"/>
  <c r="CF8" i="24"/>
  <c r="U5" i="24"/>
  <c r="U5" i="25" s="1"/>
  <c r="Q61" i="16"/>
  <c r="Q5" i="24"/>
  <c r="Q5" i="25" s="1"/>
  <c r="N49" i="16"/>
  <c r="K59" i="16"/>
  <c r="K25" i="24" s="1"/>
  <c r="K25" i="25" s="1"/>
  <c r="Q63" i="16"/>
  <c r="Q29" i="24" s="1"/>
  <c r="Q29" i="25" s="1"/>
  <c r="CF30" i="24"/>
  <c r="M63" i="16"/>
  <c r="M29" i="24" s="1"/>
  <c r="M29" i="25" s="1"/>
  <c r="T51" i="16"/>
  <c r="T17" i="24" s="1"/>
  <c r="T17" i="25" s="1"/>
  <c r="O45" i="16"/>
  <c r="O11" i="24" s="1"/>
  <c r="O11" i="25" s="1"/>
  <c r="S45" i="16"/>
  <c r="S11" i="24" s="1"/>
  <c r="S11" i="25" s="1"/>
  <c r="C45" i="16"/>
  <c r="C11" i="24" s="1"/>
  <c r="C11" i="25" s="1"/>
  <c r="G69" i="16"/>
  <c r="G35" i="24" s="1"/>
  <c r="G35" i="25" s="1"/>
  <c r="CC28" i="24"/>
  <c r="R67" i="16"/>
  <c r="R33" i="24" s="1"/>
  <c r="R33" i="25" s="1"/>
  <c r="CG34" i="24"/>
  <c r="E47" i="16"/>
  <c r="E13" i="24" s="1"/>
  <c r="E13" i="25" s="1"/>
  <c r="H49" i="16"/>
  <c r="H15" i="24" s="1"/>
  <c r="H15" i="25" s="1"/>
  <c r="M51" i="16"/>
  <c r="J47" i="16"/>
  <c r="R61" i="16"/>
  <c r="R27" i="24" s="1"/>
  <c r="R27" i="25" s="1"/>
  <c r="T47" i="16"/>
  <c r="N69" i="16"/>
  <c r="CC36" i="24"/>
  <c r="Q69" i="16"/>
  <c r="Q35" i="24" s="1"/>
  <c r="Q35" i="25" s="1"/>
  <c r="P55" i="16"/>
  <c r="CE22" i="24"/>
  <c r="L57" i="16"/>
  <c r="L23" i="24" s="1"/>
  <c r="L23" i="25" s="1"/>
  <c r="M41" i="16"/>
  <c r="M7" i="24" s="1"/>
  <c r="M7" i="25" s="1"/>
  <c r="CB8" i="24"/>
  <c r="G49" i="16"/>
  <c r="G15" i="24" s="1"/>
  <c r="G15" i="25" s="1"/>
  <c r="P49" i="16"/>
  <c r="P15" i="24" s="1"/>
  <c r="P15" i="25" s="1"/>
  <c r="CE16" i="24"/>
  <c r="M45" i="16"/>
  <c r="M11" i="24" s="1"/>
  <c r="M11" i="25" s="1"/>
  <c r="J49" i="16"/>
  <c r="Q47" i="16"/>
  <c r="M47" i="16"/>
  <c r="M13" i="24" s="1"/>
  <c r="M13" i="25" s="1"/>
  <c r="E69" i="16"/>
  <c r="E35" i="24" s="1"/>
  <c r="E35" i="25" s="1"/>
  <c r="L55" i="16"/>
  <c r="CA22" i="24"/>
  <c r="O41" i="16"/>
  <c r="F41" i="16"/>
  <c r="F7" i="24" s="1"/>
  <c r="F7" i="25" s="1"/>
  <c r="N41" i="16"/>
  <c r="N7" i="24" s="1"/>
  <c r="N7" i="25" s="1"/>
  <c r="S57" i="16"/>
  <c r="CH24" i="24"/>
  <c r="O43" i="16"/>
  <c r="H67" i="16"/>
  <c r="G51" i="16"/>
  <c r="G17" i="24" s="1"/>
  <c r="G17" i="25" s="1"/>
  <c r="G55" i="16"/>
  <c r="G21" i="24" s="1"/>
  <c r="G21" i="25" s="1"/>
  <c r="J55" i="16"/>
  <c r="I47" i="16"/>
  <c r="I13" i="24" s="1"/>
  <c r="I13" i="25" s="1"/>
  <c r="R49" i="16"/>
  <c r="CG16" i="24"/>
  <c r="Q49" i="16"/>
  <c r="Q15" i="24" s="1"/>
  <c r="Q15" i="25" s="1"/>
  <c r="N65" i="16"/>
  <c r="N31" i="24" s="1"/>
  <c r="N31" i="25" s="1"/>
  <c r="I65" i="16"/>
  <c r="K63" i="16"/>
  <c r="K29" i="24" s="1"/>
  <c r="K29" i="25" s="1"/>
  <c r="BZ30" i="24"/>
  <c r="E51" i="16"/>
  <c r="E17" i="24" s="1"/>
  <c r="E17" i="25" s="1"/>
  <c r="F55" i="16"/>
  <c r="F21" i="24" s="1"/>
  <c r="F21" i="25" s="1"/>
  <c r="H45" i="16"/>
  <c r="H11" i="24" s="1"/>
  <c r="H11" i="25" s="1"/>
  <c r="H65" i="16"/>
  <c r="H31" i="24" s="1"/>
  <c r="H31" i="25" s="1"/>
  <c r="R53" i="16"/>
  <c r="K65" i="16"/>
  <c r="K31" i="24" s="1"/>
  <c r="K31" i="25" s="1"/>
  <c r="J59" i="16"/>
  <c r="J25" i="24" s="1"/>
  <c r="J25" i="25" s="1"/>
  <c r="H69" i="16"/>
  <c r="G41" i="16"/>
  <c r="G7" i="24" s="1"/>
  <c r="G7" i="25" s="1"/>
  <c r="M61" i="16"/>
  <c r="M27" i="24" s="1"/>
  <c r="M27" i="25" s="1"/>
  <c r="U57" i="16"/>
  <c r="G67" i="16"/>
  <c r="G33" i="24" s="1"/>
  <c r="G33" i="25" s="1"/>
  <c r="L41" i="16"/>
  <c r="L7" i="24" s="1"/>
  <c r="L7" i="25" s="1"/>
  <c r="O57" i="16"/>
  <c r="M55" i="16"/>
  <c r="L49" i="16"/>
  <c r="J65" i="16"/>
  <c r="BY32" i="24"/>
  <c r="T59" i="16"/>
  <c r="T25" i="24" s="1"/>
  <c r="T25" i="25" s="1"/>
  <c r="R63" i="16"/>
  <c r="R29" i="24" s="1"/>
  <c r="R29" i="25" s="1"/>
  <c r="L63" i="16"/>
  <c r="L29" i="24" s="1"/>
  <c r="L29" i="25" s="1"/>
  <c r="CA30" i="24"/>
  <c r="D51" i="16"/>
  <c r="D17" i="24" s="1"/>
  <c r="D17" i="25" s="1"/>
  <c r="S55" i="16"/>
  <c r="CH22" i="24"/>
  <c r="K47" i="16"/>
  <c r="K13" i="24" s="1"/>
  <c r="K13" i="25" s="1"/>
  <c r="D61" i="16"/>
  <c r="D27" i="24" s="1"/>
  <c r="D27" i="25" s="1"/>
  <c r="R69" i="16"/>
  <c r="L59" i="16"/>
  <c r="G59" i="16"/>
  <c r="G25" i="24" s="1"/>
  <c r="G25" i="25" s="1"/>
  <c r="K49" i="16"/>
  <c r="K15" i="24" s="1"/>
  <c r="K15" i="25" s="1"/>
  <c r="S49" i="16"/>
  <c r="S47" i="16"/>
  <c r="S13" i="24" s="1"/>
  <c r="S13" i="25" s="1"/>
  <c r="CH14" i="24"/>
  <c r="K69" i="16"/>
  <c r="M69" i="16"/>
  <c r="E41" i="16"/>
  <c r="L5" i="24"/>
  <c r="L5" i="25" s="1"/>
  <c r="CA6" i="24"/>
  <c r="Q51" i="16"/>
  <c r="Q17" i="24" s="1"/>
  <c r="Q17" i="25" s="1"/>
  <c r="N67" i="16"/>
  <c r="L67" i="16"/>
  <c r="M67" i="16"/>
  <c r="M33" i="24" s="1"/>
  <c r="M33" i="25" s="1"/>
  <c r="H43" i="16"/>
  <c r="Q57" i="16"/>
  <c r="Q23" i="24" s="1"/>
  <c r="Q23" i="25" s="1"/>
  <c r="CF24" i="24"/>
  <c r="G57" i="16"/>
  <c r="G23" i="24" s="1"/>
  <c r="G23" i="25" s="1"/>
  <c r="T55" i="16"/>
  <c r="CI22" i="24"/>
  <c r="N55" i="16"/>
  <c r="E53" i="16"/>
  <c r="E19" i="24" s="1"/>
  <c r="E19" i="25" s="1"/>
  <c r="BT20" i="24"/>
  <c r="F69" i="16"/>
  <c r="F35" i="24" s="1"/>
  <c r="F35" i="25" s="1"/>
  <c r="U49" i="16"/>
  <c r="U15" i="24" s="1"/>
  <c r="U15" i="25" s="1"/>
  <c r="CJ16" i="24"/>
  <c r="M65" i="16"/>
  <c r="M31" i="24" s="1"/>
  <c r="M31" i="25" s="1"/>
  <c r="M57" i="16"/>
  <c r="M23" i="24" s="1"/>
  <c r="M23" i="25" s="1"/>
  <c r="CB24" i="24"/>
  <c r="P59" i="16"/>
  <c r="I45" i="16"/>
  <c r="F63" i="16"/>
  <c r="F29" i="24" s="1"/>
  <c r="F29" i="25" s="1"/>
  <c r="H63" i="16"/>
  <c r="N51" i="16"/>
  <c r="N17" i="24" s="1"/>
  <c r="N17" i="25" s="1"/>
  <c r="E45" i="16"/>
  <c r="G45" i="16"/>
  <c r="G11" i="24" s="1"/>
  <c r="G11" i="25" s="1"/>
  <c r="T45" i="16"/>
  <c r="T11" i="24" s="1"/>
  <c r="T11" i="25" s="1"/>
  <c r="Q65" i="16"/>
  <c r="CF32" i="24"/>
  <c r="J53" i="16"/>
  <c r="J19" i="24" s="1"/>
  <c r="J19" i="25" s="1"/>
  <c r="J43" i="16"/>
  <c r="J9" i="24" s="1"/>
  <c r="J9" i="25" s="1"/>
  <c r="BY10" i="24"/>
  <c r="D53" i="16"/>
  <c r="D19" i="24" s="1"/>
  <c r="D19" i="25" s="1"/>
  <c r="N53" i="16"/>
  <c r="G63" i="16"/>
  <c r="G29" i="24" s="1"/>
  <c r="G29" i="25" s="1"/>
  <c r="V47" i="16"/>
  <c r="V13" i="24" s="1"/>
  <c r="V13" i="25" s="1"/>
  <c r="V69" i="16"/>
  <c r="V63" i="16"/>
  <c r="V29" i="24" s="1"/>
  <c r="V29" i="25" s="1"/>
  <c r="V65" i="16"/>
  <c r="CK32" i="24"/>
  <c r="V41" i="16"/>
  <c r="CK8" i="24"/>
  <c r="V57" i="16"/>
  <c r="V23" i="24" s="1"/>
  <c r="V23" i="25" s="1"/>
  <c r="V43" i="16"/>
  <c r="CK10" i="24"/>
  <c r="BT18" i="24"/>
  <c r="CR33" i="24"/>
  <c r="CN19" i="24"/>
  <c r="CM9" i="24"/>
  <c r="CU52" i="24"/>
  <c r="N61" i="16"/>
  <c r="N27" i="24" s="1"/>
  <c r="N27" i="25" s="1"/>
  <c r="CQ4" i="24"/>
  <c r="BZ4" i="24"/>
  <c r="CF45" i="24"/>
  <c r="CS50" i="24"/>
  <c r="CT50" i="24"/>
  <c r="CA50" i="24"/>
  <c r="CI52" i="24"/>
  <c r="BT49" i="24"/>
  <c r="CO50" i="24"/>
  <c r="CT51" i="24"/>
  <c r="CO47" i="24"/>
  <c r="CL49" i="24"/>
  <c r="BS52" i="24"/>
  <c r="BW48" i="24"/>
  <c r="BZ54" i="24"/>
  <c r="BX54" i="24"/>
  <c r="CK54" i="24"/>
  <c r="BU54" i="24"/>
  <c r="CG52" i="24"/>
  <c r="BS46" i="24"/>
  <c r="CA46" i="24"/>
  <c r="BS50" i="24"/>
  <c r="BR49" i="24"/>
  <c r="CB49" i="24"/>
  <c r="CI50" i="24"/>
  <c r="BZ49" i="24"/>
  <c r="CC49" i="24"/>
  <c r="CT47" i="24"/>
  <c r="CG50" i="24"/>
  <c r="CU47" i="24"/>
  <c r="BY48" i="24"/>
  <c r="CQ48" i="24"/>
  <c r="CO54" i="24"/>
  <c r="CB52" i="24"/>
  <c r="BW44" i="24"/>
  <c r="CL52" i="24"/>
  <c r="CQ52" i="24"/>
  <c r="BX48" i="24"/>
  <c r="CB51" i="24"/>
  <c r="BY52" i="24"/>
  <c r="CN52" i="24"/>
  <c r="CI48" i="24"/>
  <c r="CF47" i="24"/>
  <c r="CJ53" i="24"/>
  <c r="BR47" i="24"/>
  <c r="CP45" i="24"/>
  <c r="BV52" i="24"/>
  <c r="CS52" i="24"/>
  <c r="BX51" i="24"/>
  <c r="CR47" i="24"/>
  <c r="BT48" i="24"/>
  <c r="BS48" i="24"/>
  <c r="CT46" i="24"/>
  <c r="CP50" i="24"/>
  <c r="CR49" i="24"/>
  <c r="CS44" i="24"/>
  <c r="BX49" i="24"/>
  <c r="CA52" i="24"/>
  <c r="BY49" i="24"/>
  <c r="CN50" i="24"/>
  <c r="CP52" i="24"/>
  <c r="CE49" i="24"/>
  <c r="CU49" i="24"/>
  <c r="CT54" i="24"/>
  <c r="BV54" i="24"/>
  <c r="BW54" i="24"/>
  <c r="CQ54" i="24"/>
  <c r="CM49" i="24"/>
  <c r="CE47" i="24"/>
  <c r="CH53" i="24"/>
  <c r="CD53" i="24"/>
  <c r="BR48" i="24"/>
  <c r="CP46" i="24"/>
  <c r="BV50" i="24"/>
  <c r="CC51" i="24"/>
  <c r="BR52" i="24"/>
  <c r="BW52" i="24"/>
  <c r="CK52" i="24"/>
  <c r="CG48" i="24"/>
  <c r="BZ45" i="24"/>
  <c r="CQ45" i="24"/>
  <c r="CQ49" i="24"/>
  <c r="BU50" i="24"/>
  <c r="BW50" i="24"/>
  <c r="CK50" i="24"/>
  <c r="CF49" i="24"/>
  <c r="CR52" i="24"/>
  <c r="CE51" i="24"/>
  <c r="BU51" i="24"/>
  <c r="CU51" i="24"/>
  <c r="CK48" i="24"/>
  <c r="BY54" i="24"/>
  <c r="BV38" i="24"/>
  <c r="CL42" i="24"/>
  <c r="CN4" i="24"/>
  <c r="CN63" i="24" s="1"/>
  <c r="CG20" i="24"/>
  <c r="CN30" i="24"/>
  <c r="CN15" i="24"/>
  <c r="CM6" i="24"/>
  <c r="K55" i="16"/>
  <c r="K21" i="24" s="1"/>
  <c r="K21" i="25" s="1"/>
  <c r="CG39" i="24"/>
  <c r="CI26" i="24"/>
  <c r="CO10" i="24"/>
  <c r="S41" i="16"/>
  <c r="S7" i="24" s="1"/>
  <c r="S7" i="25" s="1"/>
  <c r="BU40" i="24"/>
  <c r="T41" i="16"/>
  <c r="T7" i="24" s="1"/>
  <c r="T7" i="25" s="1"/>
  <c r="CI12" i="24"/>
  <c r="CP32" i="24"/>
  <c r="I69" i="16"/>
  <c r="I35" i="24" s="1"/>
  <c r="I35" i="25" s="1"/>
  <c r="BV42" i="24"/>
  <c r="R41" i="16"/>
  <c r="R7" i="24" s="1"/>
  <c r="R7" i="25" s="1"/>
  <c r="J41" i="16"/>
  <c r="J7" i="24" s="1"/>
  <c r="J7" i="25" s="1"/>
  <c r="R65" i="16"/>
  <c r="R31" i="24" s="1"/>
  <c r="R31" i="25" s="1"/>
  <c r="F51" i="16"/>
  <c r="F17" i="24" s="1"/>
  <c r="F17" i="25" s="1"/>
  <c r="CS16" i="24"/>
  <c r="CC41" i="24"/>
  <c r="V67" i="16"/>
  <c r="V33" i="24" s="1"/>
  <c r="V33" i="25" s="1"/>
  <c r="E65" i="16"/>
  <c r="E31" i="24" s="1"/>
  <c r="E31" i="25" s="1"/>
  <c r="CS12" i="24"/>
  <c r="CF18" i="24"/>
  <c r="O49" i="16"/>
  <c r="O15" i="24" s="1"/>
  <c r="O15" i="25" s="1"/>
  <c r="BZ38" i="24"/>
  <c r="BY20" i="24"/>
  <c r="T57" i="16"/>
  <c r="T23" i="24" s="1"/>
  <c r="T23" i="25" s="1"/>
  <c r="CO38" i="24"/>
  <c r="CG36" i="24"/>
  <c r="U55" i="16"/>
  <c r="U21" i="24" s="1"/>
  <c r="U21" i="25" s="1"/>
  <c r="CN26" i="24"/>
  <c r="T63" i="16"/>
  <c r="T29" i="24" s="1"/>
  <c r="T29" i="25" s="1"/>
  <c r="P61" i="16"/>
  <c r="P27" i="24" s="1"/>
  <c r="P27" i="25" s="1"/>
  <c r="E61" i="16"/>
  <c r="E27" i="24" s="1"/>
  <c r="E27" i="25" s="1"/>
  <c r="CT29" i="24"/>
  <c r="G47" i="16"/>
  <c r="G13" i="24" s="1"/>
  <c r="G13" i="25" s="1"/>
  <c r="M49" i="16"/>
  <c r="M15" i="24" s="1"/>
  <c r="M15" i="25" s="1"/>
  <c r="I49" i="16"/>
  <c r="I15" i="24" s="1"/>
  <c r="I15" i="25" s="1"/>
  <c r="CS39" i="24"/>
  <c r="CO25" i="24"/>
  <c r="CO34" i="24"/>
  <c r="S60" i="16"/>
  <c r="S26" i="24" s="1"/>
  <c r="S26" i="25" s="1"/>
  <c r="CU10" i="24"/>
  <c r="Q43" i="16"/>
  <c r="Q9" i="24" s="1"/>
  <c r="Q9" i="25" s="1"/>
  <c r="R59" i="16"/>
  <c r="R25" i="24" s="1"/>
  <c r="R25" i="25" s="1"/>
  <c r="CL34" i="24"/>
  <c r="CT22" i="24"/>
  <c r="CU40" i="24"/>
  <c r="I63" i="16"/>
  <c r="I29" i="24" s="1"/>
  <c r="I29" i="25" s="1"/>
  <c r="CC8" i="24"/>
  <c r="J69" i="16"/>
  <c r="J35" i="24" s="1"/>
  <c r="J35" i="25" s="1"/>
  <c r="CD42" i="24"/>
  <c r="M59" i="16"/>
  <c r="M25" i="24" s="1"/>
  <c r="M25" i="25" s="1"/>
  <c r="CH39" i="24"/>
  <c r="S70" i="16"/>
  <c r="S36" i="24" s="1"/>
  <c r="S36" i="25" s="1"/>
  <c r="CD37" i="24"/>
  <c r="S64" i="16"/>
  <c r="S30" i="24" s="1"/>
  <c r="S30" i="25" s="1"/>
  <c r="U70" i="16"/>
  <c r="U36" i="24" s="1"/>
  <c r="U36" i="25" s="1"/>
  <c r="CS43" i="24"/>
  <c r="S62" i="16"/>
  <c r="S28" i="24" s="1"/>
  <c r="S28" i="25" s="1"/>
  <c r="U64" i="16"/>
  <c r="U30" i="24" s="1"/>
  <c r="U30" i="25" s="1"/>
  <c r="O64" i="16"/>
  <c r="O30" i="24" s="1"/>
  <c r="O30" i="25" s="1"/>
  <c r="F65" i="16"/>
  <c r="F31" i="24" s="1"/>
  <c r="F31" i="25" s="1"/>
  <c r="CQ26" i="24"/>
  <c r="CQ20" i="24"/>
  <c r="CM31" i="24"/>
  <c r="BV16" i="24"/>
  <c r="CT34" i="24"/>
  <c r="N47" i="16"/>
  <c r="N13" i="24" s="1"/>
  <c r="N13" i="25" s="1"/>
  <c r="U60" i="16"/>
  <c r="U26" i="24" s="1"/>
  <c r="U26" i="25" s="1"/>
  <c r="O70" i="16"/>
  <c r="O36" i="24" s="1"/>
  <c r="O36" i="25" s="1"/>
  <c r="S68" i="16"/>
  <c r="S34" i="24" s="1"/>
  <c r="S34" i="25" s="1"/>
  <c r="U68" i="16"/>
  <c r="U34" i="24" s="1"/>
  <c r="U34" i="25" s="1"/>
  <c r="O62" i="16"/>
  <c r="O28" i="24" s="1"/>
  <c r="O28" i="25" s="1"/>
  <c r="CM39" i="24"/>
  <c r="K57" i="16"/>
  <c r="K23" i="24" s="1"/>
  <c r="K23" i="25" s="1"/>
  <c r="U66" i="16"/>
  <c r="U32" i="24" s="1"/>
  <c r="U32" i="25" s="1"/>
  <c r="O66" i="16"/>
  <c r="O32" i="24" s="1"/>
  <c r="O32" i="25" s="1"/>
  <c r="CL37" i="24"/>
  <c r="R57" i="16"/>
  <c r="R23" i="24" s="1"/>
  <c r="R23" i="25" s="1"/>
  <c r="N59" i="16"/>
  <c r="N25" i="24" s="1"/>
  <c r="N25" i="25" s="1"/>
  <c r="O60" i="16"/>
  <c r="O26" i="24" s="1"/>
  <c r="O26" i="25" s="1"/>
  <c r="O68" i="16"/>
  <c r="O34" i="24" s="1"/>
  <c r="O34" i="25" s="1"/>
  <c r="S66" i="16"/>
  <c r="S32" i="24" s="1"/>
  <c r="S32" i="25" s="1"/>
  <c r="U62" i="16"/>
  <c r="U28" i="24" s="1"/>
  <c r="U28" i="25" s="1"/>
  <c r="CR39" i="24"/>
  <c r="E63" i="16"/>
  <c r="E29" i="24" s="1"/>
  <c r="E29" i="25" s="1"/>
  <c r="CR18" i="24"/>
  <c r="O55" i="16"/>
  <c r="O21" i="24" s="1"/>
  <c r="O21" i="25" s="1"/>
  <c r="I61" i="16"/>
  <c r="I27" i="24" s="1"/>
  <c r="I27" i="25" s="1"/>
  <c r="Q59" i="16"/>
  <c r="Q25" i="24" s="1"/>
  <c r="Q25" i="25" s="1"/>
  <c r="CR32" i="24"/>
  <c r="CC32" i="24"/>
  <c r="CB42" i="24"/>
  <c r="CC39" i="24"/>
  <c r="BZ24" i="24"/>
  <c r="CE26" i="24"/>
  <c r="L47" i="16"/>
  <c r="L13" i="24" s="1"/>
  <c r="L13" i="25" s="1"/>
  <c r="CN23" i="24"/>
  <c r="CS42" i="24"/>
  <c r="CA24" i="24"/>
  <c r="CO4" i="24"/>
  <c r="Q55" i="16"/>
  <c r="Q21" i="24" s="1"/>
  <c r="Q21" i="25" s="1"/>
  <c r="CM17" i="24"/>
  <c r="T67" i="16"/>
  <c r="T33" i="24" s="1"/>
  <c r="T33" i="25" s="1"/>
  <c r="CQ16" i="24"/>
  <c r="CE42" i="24"/>
  <c r="CQ34" i="24"/>
  <c r="K41" i="16"/>
  <c r="K7" i="24" s="1"/>
  <c r="K7" i="25" s="1"/>
  <c r="CS8" i="24"/>
  <c r="BV8" i="24"/>
  <c r="CG30" i="24"/>
  <c r="BX12" i="24"/>
  <c r="BS4" i="24"/>
  <c r="I53" i="16"/>
  <c r="I19" i="24" s="1"/>
  <c r="I19" i="25" s="1"/>
  <c r="BS18" i="24"/>
  <c r="BZ42" i="24"/>
  <c r="F59" i="16"/>
  <c r="F25" i="24" s="1"/>
  <c r="F25" i="25" s="1"/>
  <c r="CN6" i="24"/>
  <c r="CP26" i="24"/>
  <c r="CR12" i="24"/>
  <c r="F53" i="16"/>
  <c r="F19" i="24" s="1"/>
  <c r="F19" i="25" s="1"/>
  <c r="H53" i="16"/>
  <c r="H19" i="24" s="1"/>
  <c r="H19" i="25" s="1"/>
  <c r="CE10" i="24"/>
  <c r="CL30" i="24"/>
  <c r="CR20" i="24"/>
  <c r="I43" i="16"/>
  <c r="I9" i="24" s="1"/>
  <c r="I9" i="25" s="1"/>
  <c r="D65" i="16"/>
  <c r="D31" i="24" s="1"/>
  <c r="D31" i="25" s="1"/>
  <c r="CP39" i="24"/>
  <c r="CL14" i="24"/>
  <c r="BZ40" i="24"/>
  <c r="BU36" i="24"/>
  <c r="BZ36" i="24"/>
  <c r="F47" i="16"/>
  <c r="F13" i="24" s="1"/>
  <c r="F13" i="25" s="1"/>
  <c r="CR6" i="24"/>
  <c r="BY42" i="24"/>
  <c r="O53" i="16"/>
  <c r="O19" i="24" s="1"/>
  <c r="O19" i="25" s="1"/>
  <c r="C65" i="16"/>
  <c r="C31" i="24" s="1"/>
  <c r="C31" i="25" s="1"/>
  <c r="D47" i="16"/>
  <c r="D13" i="24" s="1"/>
  <c r="D13" i="25" s="1"/>
  <c r="T65" i="16"/>
  <c r="T31" i="24" s="1"/>
  <c r="T31" i="25" s="1"/>
  <c r="F49" i="16"/>
  <c r="F15" i="24" s="1"/>
  <c r="F15" i="25" s="1"/>
  <c r="O47" i="16"/>
  <c r="O13" i="24" s="1"/>
  <c r="O13" i="25" s="1"/>
  <c r="L69" i="16"/>
  <c r="L35" i="24" s="1"/>
  <c r="L35" i="25" s="1"/>
  <c r="CT15" i="24"/>
  <c r="G65" i="16"/>
  <c r="G31" i="24" s="1"/>
  <c r="G31" i="25" s="1"/>
  <c r="BV32" i="24"/>
  <c r="CM11" i="24"/>
  <c r="CT5" i="24"/>
  <c r="CQ40" i="24"/>
  <c r="CQ11" i="24"/>
  <c r="BW10" i="24"/>
  <c r="CL36" i="24"/>
  <c r="BT24" i="24"/>
  <c r="E57" i="16"/>
  <c r="E23" i="24" s="1"/>
  <c r="E23" i="25" s="1"/>
  <c r="O51" i="16"/>
  <c r="O17" i="24" s="1"/>
  <c r="O17" i="25" s="1"/>
  <c r="D45" i="16"/>
  <c r="D11" i="24" s="1"/>
  <c r="D11" i="25" s="1"/>
  <c r="CK4" i="24"/>
  <c r="K61" i="16"/>
  <c r="K27" i="24" s="1"/>
  <c r="K27" i="25" s="1"/>
  <c r="K67" i="16"/>
  <c r="K33" i="24" s="1"/>
  <c r="K33" i="25" s="1"/>
  <c r="N45" i="16"/>
  <c r="N11" i="24" s="1"/>
  <c r="N11" i="25" s="1"/>
  <c r="CA40" i="24"/>
  <c r="CA42" i="24"/>
  <c r="CB32" i="24"/>
  <c r="CO19" i="24"/>
  <c r="CQ5" i="24"/>
  <c r="CQ6" i="24"/>
  <c r="CI6" i="24"/>
  <c r="E49" i="16"/>
  <c r="E15" i="24" s="1"/>
  <c r="E15" i="25" s="1"/>
  <c r="E59" i="16"/>
  <c r="E25" i="24" s="1"/>
  <c r="E25" i="25" s="1"/>
  <c r="CE39" i="24"/>
  <c r="CE40" i="24"/>
  <c r="F45" i="16"/>
  <c r="F11" i="24" s="1"/>
  <c r="F11" i="25" s="1"/>
  <c r="BZ26" i="24"/>
  <c r="N63" i="16"/>
  <c r="N29" i="24" s="1"/>
  <c r="N29" i="25" s="1"/>
  <c r="P63" i="16"/>
  <c r="P29" i="24" s="1"/>
  <c r="P29" i="25" s="1"/>
  <c r="P41" i="16"/>
  <c r="P7" i="24" s="1"/>
  <c r="P7" i="25" s="1"/>
  <c r="CL4" i="24"/>
  <c r="CL63" i="24" s="1"/>
  <c r="P65" i="16"/>
  <c r="P31" i="24" s="1"/>
  <c r="P31" i="25" s="1"/>
  <c r="T43" i="16"/>
  <c r="T9" i="24" s="1"/>
  <c r="T9" i="25" s="1"/>
  <c r="G61" i="16"/>
  <c r="G27" i="24" s="1"/>
  <c r="G27" i="25" s="1"/>
  <c r="P47" i="16"/>
  <c r="P13" i="24" s="1"/>
  <c r="P13" i="25" s="1"/>
  <c r="L61" i="16"/>
  <c r="L27" i="24" s="1"/>
  <c r="L27" i="25" s="1"/>
  <c r="I59" i="16"/>
  <c r="I25" i="24" s="1"/>
  <c r="I25" i="25" s="1"/>
  <c r="L53" i="16"/>
  <c r="L19" i="24" s="1"/>
  <c r="L19" i="25" s="1"/>
  <c r="C63" i="16"/>
  <c r="C29" i="24" s="1"/>
  <c r="C29" i="25" s="1"/>
  <c r="U51" i="16"/>
  <c r="U17" i="24" s="1"/>
  <c r="U17" i="25" s="1"/>
  <c r="L45" i="16"/>
  <c r="L11" i="24" s="1"/>
  <c r="L11" i="25" s="1"/>
  <c r="CP30" i="24"/>
  <c r="CI18" i="24"/>
  <c r="CP42" i="24"/>
  <c r="N43" i="16"/>
  <c r="N9" i="24" s="1"/>
  <c r="N9" i="25" s="1"/>
  <c r="I41" i="16"/>
  <c r="I7" i="24" s="1"/>
  <c r="I7" i="25" s="1"/>
  <c r="BX8" i="24"/>
  <c r="CP4" i="24"/>
  <c r="CP63" i="24" s="1"/>
  <c r="CP35" i="24"/>
  <c r="T53" i="16"/>
  <c r="T19" i="24" s="1"/>
  <c r="T19" i="25" s="1"/>
  <c r="V49" i="16"/>
  <c r="V15" i="24" s="1"/>
  <c r="V15" i="25" s="1"/>
  <c r="CK16" i="24"/>
  <c r="J45" i="16"/>
  <c r="J11" i="24" s="1"/>
  <c r="J11" i="25" s="1"/>
  <c r="K45" i="16"/>
  <c r="K11" i="24" s="1"/>
  <c r="K11" i="25" s="1"/>
  <c r="CM4" i="24"/>
  <c r="CO32" i="24"/>
  <c r="CU22" i="24"/>
  <c r="CN8" i="24"/>
  <c r="CM24" i="24"/>
  <c r="P5" i="24"/>
  <c r="P5" i="25" s="1"/>
  <c r="CH16" i="24"/>
  <c r="V55" i="16"/>
  <c r="V21" i="24" s="1"/>
  <c r="V21" i="25" s="1"/>
  <c r="CK22" i="24"/>
  <c r="C49" i="16"/>
  <c r="C15" i="24" s="1"/>
  <c r="C15" i="25" s="1"/>
  <c r="CT4" i="24"/>
  <c r="M53" i="16"/>
  <c r="M19" i="24" s="1"/>
  <c r="M19" i="25" s="1"/>
  <c r="T49" i="16"/>
  <c r="T15" i="24" s="1"/>
  <c r="T15" i="25" s="1"/>
  <c r="L65" i="16"/>
  <c r="L31" i="24" s="1"/>
  <c r="L31" i="25" s="1"/>
  <c r="V61" i="16"/>
  <c r="V27" i="24" s="1"/>
  <c r="V27" i="25" s="1"/>
  <c r="P51" i="16"/>
  <c r="P17" i="24" s="1"/>
  <c r="P17" i="25" s="1"/>
  <c r="U45" i="16"/>
  <c r="U11" i="24" s="1"/>
  <c r="U11" i="25" s="1"/>
  <c r="P45" i="16"/>
  <c r="P11" i="24" s="1"/>
  <c r="P11" i="25" s="1"/>
  <c r="D49" i="16"/>
  <c r="D15" i="24" s="1"/>
  <c r="D15" i="25" s="1"/>
  <c r="H61" i="16"/>
  <c r="H27" i="24" s="1"/>
  <c r="H27" i="25" s="1"/>
  <c r="D63" i="16"/>
  <c r="D29" i="24" s="1"/>
  <c r="D29" i="25" s="1"/>
  <c r="R51" i="16"/>
  <c r="R17" i="24" s="1"/>
  <c r="R17" i="25" s="1"/>
  <c r="V51" i="16"/>
  <c r="V17" i="24" s="1"/>
  <c r="V17" i="25" s="1"/>
  <c r="G53" i="16"/>
  <c r="G19" i="24" s="1"/>
  <c r="G19" i="25" s="1"/>
  <c r="C59" i="16"/>
  <c r="C25" i="24" s="1"/>
  <c r="C25" i="25" s="1"/>
  <c r="J63" i="16"/>
  <c r="J29" i="24" s="1"/>
  <c r="J29" i="25" s="1"/>
  <c r="K51" i="16"/>
  <c r="K17" i="24" s="1"/>
  <c r="K17" i="25" s="1"/>
  <c r="H51" i="16"/>
  <c r="H17" i="24" s="1"/>
  <c r="H17" i="25" s="1"/>
  <c r="R45" i="16"/>
  <c r="R11" i="24" s="1"/>
  <c r="R11" i="25" s="1"/>
  <c r="U53" i="16"/>
  <c r="U19" i="24" s="1"/>
  <c r="U19" i="25" s="1"/>
  <c r="M43" i="16"/>
  <c r="M9" i="24" s="1"/>
  <c r="M9" i="25" s="1"/>
  <c r="R55" i="16"/>
  <c r="R21" i="24" s="1"/>
  <c r="R21" i="25" s="1"/>
  <c r="T61" i="16"/>
  <c r="T27" i="24" s="1"/>
  <c r="T27" i="25" s="1"/>
  <c r="C57" i="16"/>
  <c r="C23" i="24" s="1"/>
  <c r="C23" i="25" s="1"/>
  <c r="C51" i="16"/>
  <c r="C17" i="24" s="1"/>
  <c r="C17" i="25" s="1"/>
  <c r="C53" i="16"/>
  <c r="C19" i="24" s="1"/>
  <c r="C19" i="25" s="1"/>
  <c r="C47" i="16"/>
  <c r="C13" i="24" s="1"/>
  <c r="C13" i="25" s="1"/>
  <c r="Q45" i="16"/>
  <c r="Q11" i="24" s="1"/>
  <c r="Q11" i="25" s="1"/>
  <c r="D69" i="16"/>
  <c r="D35" i="24" s="1"/>
  <c r="D35" i="25" s="1"/>
  <c r="C41" i="16"/>
  <c r="C7" i="24" s="1"/>
  <c r="C7" i="25" s="1"/>
  <c r="D43" i="16"/>
  <c r="D9" i="24" s="1"/>
  <c r="D9" i="25" s="1"/>
  <c r="D55" i="16"/>
  <c r="D21" i="24" s="1"/>
  <c r="D21" i="25" s="1"/>
  <c r="L51" i="16"/>
  <c r="L17" i="24" s="1"/>
  <c r="L17" i="25" s="1"/>
  <c r="C61" i="16"/>
  <c r="C27" i="24" s="1"/>
  <c r="C27" i="25" s="1"/>
  <c r="F57" i="16"/>
  <c r="F23" i="24" s="1"/>
  <c r="F23" i="25" s="1"/>
  <c r="D57" i="16"/>
  <c r="D23" i="24" s="1"/>
  <c r="D23" i="25" s="1"/>
  <c r="P67" i="16"/>
  <c r="P33" i="24" s="1"/>
  <c r="P33" i="25" s="1"/>
  <c r="F61" i="16"/>
  <c r="F27" i="24" s="1"/>
  <c r="F27" i="25" s="1"/>
  <c r="I55" i="16"/>
  <c r="I21" i="24" s="1"/>
  <c r="I21" i="25" s="1"/>
  <c r="C55" i="16"/>
  <c r="C21" i="24" s="1"/>
  <c r="C21" i="25" s="1"/>
  <c r="H59" i="16"/>
  <c r="H25" i="24" s="1"/>
  <c r="H25" i="25" s="1"/>
  <c r="U47" i="16"/>
  <c r="U13" i="24" s="1"/>
  <c r="U13" i="25" s="1"/>
  <c r="P57" i="16"/>
  <c r="P23" i="24" s="1"/>
  <c r="P23" i="25" s="1"/>
  <c r="R43" i="16"/>
  <c r="R9" i="24" s="1"/>
  <c r="R9" i="25" s="1"/>
  <c r="Q67" i="16"/>
  <c r="Q33" i="24" s="1"/>
  <c r="Q33" i="25" s="1"/>
  <c r="S51" i="16"/>
  <c r="S17" i="24" s="1"/>
  <c r="S17" i="25" s="1"/>
  <c r="BV26" i="24"/>
  <c r="CA34" i="24"/>
  <c r="CI38" i="24"/>
  <c r="CA8" i="24"/>
  <c r="CU38" i="24"/>
  <c r="CI14" i="24"/>
  <c r="CL6" i="24"/>
  <c r="CD8" i="24"/>
  <c r="CC22" i="24"/>
  <c r="S53" i="16"/>
  <c r="S19" i="24" s="1"/>
  <c r="S19" i="25" s="1"/>
  <c r="R47" i="16"/>
  <c r="R13" i="24" s="1"/>
  <c r="R13" i="25" s="1"/>
  <c r="C69" i="16"/>
  <c r="C35" i="24" s="1"/>
  <c r="C35" i="25" s="1"/>
  <c r="T69" i="16"/>
  <c r="T35" i="24" s="1"/>
  <c r="T35" i="25" s="1"/>
  <c r="G5" i="24"/>
  <c r="G5" i="25" s="1"/>
  <c r="J61" i="16"/>
  <c r="J27" i="24" s="1"/>
  <c r="J27" i="25" s="1"/>
  <c r="J57" i="16"/>
  <c r="J23" i="24" s="1"/>
  <c r="J23" i="25" s="1"/>
  <c r="E43" i="16"/>
  <c r="E9" i="24" s="1"/>
  <c r="E9" i="25" s="1"/>
  <c r="J51" i="16"/>
  <c r="J17" i="24" s="1"/>
  <c r="J17" i="25" s="1"/>
  <c r="C67" i="16"/>
  <c r="C33" i="24" s="1"/>
  <c r="C33" i="25" s="1"/>
  <c r="BW4" i="24"/>
  <c r="E55" i="16"/>
  <c r="E21" i="24" s="1"/>
  <c r="E21" i="25" s="1"/>
  <c r="Q53" i="16"/>
  <c r="Q19" i="24" s="1"/>
  <c r="Q19" i="25" s="1"/>
  <c r="H41" i="16"/>
  <c r="H7" i="24" s="1"/>
  <c r="H7" i="25" s="1"/>
  <c r="R5" i="24"/>
  <c r="R5" i="25" s="1"/>
  <c r="J67" i="16"/>
  <c r="J33" i="24" s="1"/>
  <c r="J33" i="25" s="1"/>
  <c r="P53" i="16"/>
  <c r="P19" i="24" s="1"/>
  <c r="P19" i="25" s="1"/>
  <c r="V53" i="16"/>
  <c r="V19" i="24" s="1"/>
  <c r="V19" i="25" s="1"/>
  <c r="D59" i="16"/>
  <c r="D25" i="24" s="1"/>
  <c r="D25" i="25" s="1"/>
  <c r="F43" i="16"/>
  <c r="F9" i="24" s="1"/>
  <c r="F9" i="25" s="1"/>
  <c r="K43" i="16"/>
  <c r="K9" i="24" s="1"/>
  <c r="K9" i="25" s="1"/>
  <c r="C43" i="16"/>
  <c r="C9" i="24" s="1"/>
  <c r="C9" i="25" s="1"/>
  <c r="S43" i="16"/>
  <c r="S9" i="24" s="1"/>
  <c r="S9" i="25" s="1"/>
  <c r="H57" i="16"/>
  <c r="H23" i="24" s="1"/>
  <c r="H23" i="25" s="1"/>
  <c r="D67" i="16"/>
  <c r="D33" i="24" s="1"/>
  <c r="D33" i="25" s="1"/>
  <c r="D41" i="16"/>
  <c r="D7" i="24" s="1"/>
  <c r="D7" i="25" s="1"/>
  <c r="I51" i="16"/>
  <c r="I17" i="24" s="1"/>
  <c r="I17" i="25" s="1"/>
  <c r="H5" i="24"/>
  <c r="H5" i="25" s="1"/>
  <c r="CP16" i="24"/>
  <c r="CC42" i="24"/>
  <c r="BX16" i="24"/>
  <c r="CU30" i="24"/>
  <c r="BU18" i="24"/>
  <c r="CC12" i="24"/>
  <c r="CQ12" i="24"/>
  <c r="BY8" i="24"/>
  <c r="CL32" i="24"/>
  <c r="CN20" i="24"/>
  <c r="CJ22" i="24"/>
  <c r="BZ8" i="24"/>
  <c r="CU24" i="24"/>
  <c r="BZ22" i="24"/>
  <c r="BX28" i="24"/>
  <c r="BV41" i="24"/>
  <c r="CN35" i="24"/>
  <c r="CU35" i="24"/>
  <c r="CE37" i="24"/>
  <c r="CL39" i="24"/>
  <c r="CL11" i="24"/>
  <c r="CQ31" i="24"/>
  <c r="CO41" i="24"/>
  <c r="BX37" i="24"/>
  <c r="CT9" i="24"/>
  <c r="BW39" i="24"/>
  <c r="CO21" i="24"/>
  <c r="CS33" i="24"/>
  <c r="CI37" i="24"/>
  <c r="CE35" i="24"/>
  <c r="CA39" i="24"/>
  <c r="CB41" i="24"/>
  <c r="CP7" i="24"/>
  <c r="CU15" i="24"/>
  <c r="CN31" i="24"/>
  <c r="CL15" i="24"/>
  <c r="CK37" i="24"/>
  <c r="CU37" i="24"/>
  <c r="BV37" i="24"/>
  <c r="CR13" i="24"/>
  <c r="CL17" i="24"/>
  <c r="CQ25" i="24"/>
  <c r="CK25" i="24"/>
  <c r="CA41" i="24"/>
  <c r="CN39" i="24"/>
  <c r="CK5" i="24"/>
  <c r="CQ15" i="24"/>
  <c r="CJ9" i="24"/>
  <c r="CU7" i="24"/>
  <c r="CL5" i="24"/>
  <c r="CS15" i="24"/>
  <c r="CP13" i="24"/>
  <c r="CL23" i="24"/>
  <c r="CP25" i="24"/>
  <c r="CS41" i="24"/>
  <c r="CO27" i="24"/>
  <c r="CT21" i="24"/>
  <c r="CT39" i="24"/>
  <c r="CL7" i="24"/>
  <c r="CU20" i="24"/>
  <c r="CG40" i="24"/>
  <c r="CG32" i="24"/>
  <c r="CS40" i="24"/>
  <c r="CM10" i="24"/>
  <c r="CR34" i="24"/>
  <c r="BY40" i="24"/>
  <c r="CC40" i="24"/>
  <c r="CK26" i="24"/>
  <c r="CK6" i="24"/>
  <c r="BV14" i="24"/>
  <c r="CJ10" i="24"/>
  <c r="CC26" i="24"/>
  <c r="BT32" i="24"/>
  <c r="BT12" i="24"/>
  <c r="BX36" i="24"/>
  <c r="CS38" i="24"/>
  <c r="CI30" i="24"/>
  <c r="CG26" i="24"/>
  <c r="CT41" i="24"/>
  <c r="CN17" i="24"/>
  <c r="CO31" i="24"/>
  <c r="CB37" i="24"/>
  <c r="CU39" i="24"/>
  <c r="CS9" i="24"/>
  <c r="CR17" i="24"/>
  <c r="CR37" i="24"/>
  <c r="CT17" i="24"/>
  <c r="CO36" i="24"/>
  <c r="CE28" i="24"/>
  <c r="CI34" i="24"/>
  <c r="CS30" i="24"/>
  <c r="CU6" i="24"/>
  <c r="CI24" i="24"/>
  <c r="BT30" i="24"/>
  <c r="CC24" i="24"/>
  <c r="BU32" i="24"/>
  <c r="CR16" i="24"/>
  <c r="BT28" i="24"/>
  <c r="CP40" i="24"/>
  <c r="CT6" i="24"/>
  <c r="CM16" i="24"/>
  <c r="CT38" i="24"/>
  <c r="BY38" i="24"/>
  <c r="CT30" i="24"/>
  <c r="CF10" i="24"/>
  <c r="CO26" i="24"/>
  <c r="BY36" i="24"/>
  <c r="CN14" i="24"/>
  <c r="CC30" i="24"/>
  <c r="CB26" i="24"/>
  <c r="CL38" i="24"/>
  <c r="CF22" i="24"/>
  <c r="CK34" i="24"/>
  <c r="CG8" i="24"/>
  <c r="CI32" i="24"/>
  <c r="CM18" i="24"/>
  <c r="BU42" i="24"/>
  <c r="BU16" i="24"/>
  <c r="CB40" i="24"/>
  <c r="CR24" i="24"/>
  <c r="CE30" i="24"/>
  <c r="CA14" i="24"/>
  <c r="CE6" i="24"/>
  <c r="CN24" i="24"/>
  <c r="CG24" i="24"/>
  <c r="CF40" i="24"/>
  <c r="CI8" i="24"/>
  <c r="CS20" i="24"/>
  <c r="CQ42" i="24"/>
  <c r="CD16" i="24"/>
  <c r="CC14" i="24"/>
  <c r="BZ6" i="24"/>
  <c r="CH8" i="24"/>
  <c r="CF26" i="24"/>
  <c r="CB16" i="24"/>
  <c r="CN16" i="24"/>
  <c r="CD22" i="24"/>
  <c r="CP6" i="24"/>
  <c r="CE36" i="24"/>
  <c r="CP8" i="24"/>
  <c r="BX30" i="24"/>
  <c r="CU26" i="24"/>
  <c r="CC38" i="24"/>
  <c r="BU26" i="24"/>
  <c r="CQ27" i="24"/>
  <c r="CR5" i="24"/>
  <c r="CU9" i="24"/>
  <c r="CU21" i="24"/>
  <c r="CN7" i="24"/>
  <c r="CE41" i="24"/>
  <c r="CC23" i="24"/>
  <c r="CL29" i="24"/>
  <c r="CP37" i="24"/>
  <c r="BU37" i="24"/>
  <c r="CP29" i="24"/>
  <c r="CR15" i="24"/>
  <c r="CT13" i="24"/>
  <c r="CO33" i="24"/>
  <c r="BU39" i="24"/>
  <c r="CO37" i="24"/>
  <c r="CO23" i="24"/>
  <c r="CO5" i="24"/>
  <c r="CQ39" i="24"/>
  <c r="CT37" i="24"/>
  <c r="CR31" i="24"/>
  <c r="CQ33" i="24"/>
  <c r="CT33" i="24"/>
  <c r="CL13" i="24"/>
  <c r="BZ39" i="24"/>
  <c r="CN13" i="24"/>
  <c r="CP41" i="24"/>
  <c r="CP31" i="24"/>
  <c r="CI39" i="24"/>
  <c r="BZ41" i="24"/>
  <c r="CU31" i="24"/>
  <c r="CM5" i="24"/>
  <c r="CO9" i="24"/>
  <c r="CL33" i="24"/>
  <c r="CQ23" i="24"/>
  <c r="CM23" i="24"/>
  <c r="BX39" i="24"/>
  <c r="CN29" i="24"/>
  <c r="CN21" i="24"/>
  <c r="CS13" i="24"/>
  <c r="CM7" i="24"/>
  <c r="CA37" i="24"/>
  <c r="CS23" i="24"/>
  <c r="CQ19" i="24"/>
  <c r="CG37" i="24"/>
  <c r="CS21" i="24"/>
  <c r="CS7" i="24"/>
  <c r="CN37" i="24"/>
  <c r="CL41" i="24"/>
  <c r="CN5" i="24"/>
  <c r="CS31" i="24"/>
  <c r="CF37" i="24"/>
  <c r="CN25" i="24"/>
  <c r="CF39" i="24"/>
  <c r="CR11" i="24"/>
  <c r="CT31" i="24"/>
  <c r="BY41" i="24"/>
  <c r="BZ37" i="24"/>
  <c r="CP21" i="24"/>
  <c r="CH11" i="24" l="1"/>
  <c r="CG33" i="24"/>
  <c r="BV35" i="24"/>
  <c r="BZ25" i="24"/>
  <c r="CF4" i="24"/>
  <c r="CI17" i="24"/>
  <c r="CJ5" i="24"/>
  <c r="CA9" i="24"/>
  <c r="CA4" i="24"/>
  <c r="CA63" i="24" s="1"/>
  <c r="BX4" i="24"/>
  <c r="BV7" i="24"/>
  <c r="CA7" i="24"/>
  <c r="BT33" i="24"/>
  <c r="CA23" i="24"/>
  <c r="CJ15" i="24"/>
  <c r="S5" i="25"/>
  <c r="CH5" i="24"/>
  <c r="V31" i="24"/>
  <c r="V31" i="25" s="1"/>
  <c r="CF29" i="24"/>
  <c r="BU4" i="24"/>
  <c r="V7" i="24"/>
  <c r="V7" i="25" s="1"/>
  <c r="CK35" i="24"/>
  <c r="V35" i="24"/>
  <c r="V35" i="25" s="1"/>
  <c r="E11" i="24"/>
  <c r="E11" i="25" s="1"/>
  <c r="CI4" i="24"/>
  <c r="CI63" i="24" s="1"/>
  <c r="CD4" i="24"/>
  <c r="E7" i="24"/>
  <c r="E7" i="25" s="1"/>
  <c r="BZ31" i="24"/>
  <c r="BT13" i="24"/>
  <c r="BY4" i="24"/>
  <c r="V9" i="24"/>
  <c r="V9" i="25" s="1"/>
  <c r="K35" i="24"/>
  <c r="K35" i="25" s="1"/>
  <c r="CG4" i="24"/>
  <c r="BT4" i="24"/>
  <c r="CK11" i="24"/>
  <c r="CD5" i="24"/>
  <c r="CF5" i="24"/>
  <c r="CH13" i="24"/>
  <c r="BW13" i="24"/>
  <c r="CA29" i="24"/>
  <c r="Q7" i="24"/>
  <c r="Q7" i="25" s="1"/>
  <c r="Q31" i="24"/>
  <c r="Q31" i="25" s="1"/>
  <c r="Q27" i="24"/>
  <c r="Q27" i="25" s="1"/>
  <c r="Q13" i="24"/>
  <c r="Q13" i="25" s="1"/>
  <c r="T13" i="24"/>
  <c r="T13" i="25" s="1"/>
  <c r="U7" i="24"/>
  <c r="U7" i="25" s="1"/>
  <c r="CG29" i="24"/>
  <c r="CB13" i="24"/>
  <c r="R19" i="24"/>
  <c r="R19" i="25" s="1"/>
  <c r="S23" i="24"/>
  <c r="S23" i="25" s="1"/>
  <c r="U23" i="24"/>
  <c r="U23" i="25" s="1"/>
  <c r="T21" i="24"/>
  <c r="T21" i="25" s="1"/>
  <c r="S15" i="24"/>
  <c r="S15" i="25" s="1"/>
  <c r="R35" i="24"/>
  <c r="R35" i="25" s="1"/>
  <c r="S21" i="24"/>
  <c r="S21" i="25" s="1"/>
  <c r="R15" i="24"/>
  <c r="R15" i="25" s="1"/>
  <c r="BW21" i="24"/>
  <c r="CB7" i="24"/>
  <c r="M5" i="24"/>
  <c r="M5" i="25" s="1"/>
  <c r="M35" i="24"/>
  <c r="M35" i="25" s="1"/>
  <c r="L15" i="24"/>
  <c r="L15" i="25" s="1"/>
  <c r="L25" i="24"/>
  <c r="L25" i="25" s="1"/>
  <c r="L33" i="24"/>
  <c r="L33" i="25" s="1"/>
  <c r="M21" i="24"/>
  <c r="M21" i="25" s="1"/>
  <c r="L21" i="24"/>
  <c r="L21" i="25" s="1"/>
  <c r="M17" i="24"/>
  <c r="M17" i="25" s="1"/>
  <c r="N5" i="24"/>
  <c r="N5" i="25" s="1"/>
  <c r="O7" i="24"/>
  <c r="O7" i="25" s="1"/>
  <c r="N33" i="24"/>
  <c r="N33" i="25" s="1"/>
  <c r="O23" i="24"/>
  <c r="O23" i="25" s="1"/>
  <c r="O9" i="24"/>
  <c r="O9" i="25" s="1"/>
  <c r="P21" i="24"/>
  <c r="P21" i="25" s="1"/>
  <c r="P9" i="24"/>
  <c r="P9" i="25" s="1"/>
  <c r="P25" i="24"/>
  <c r="P25" i="25" s="1"/>
  <c r="CD11" i="24"/>
  <c r="N19" i="24"/>
  <c r="N19" i="25" s="1"/>
  <c r="N21" i="24"/>
  <c r="N21" i="25" s="1"/>
  <c r="N35" i="24"/>
  <c r="N35" i="25" s="1"/>
  <c r="N15" i="24"/>
  <c r="N15" i="25" s="1"/>
  <c r="H9" i="24"/>
  <c r="H9" i="25" s="1"/>
  <c r="J31" i="24"/>
  <c r="J31" i="25" s="1"/>
  <c r="I31" i="24"/>
  <c r="I31" i="25" s="1"/>
  <c r="I11" i="24"/>
  <c r="I11" i="25" s="1"/>
  <c r="J21" i="24"/>
  <c r="J21" i="25" s="1"/>
  <c r="H29" i="24"/>
  <c r="H29" i="25" s="1"/>
  <c r="J13" i="24"/>
  <c r="J13" i="25" s="1"/>
  <c r="BX5" i="24"/>
  <c r="H35" i="24"/>
  <c r="H35" i="25" s="1"/>
  <c r="H33" i="24"/>
  <c r="H33" i="25" s="1"/>
  <c r="J15" i="24"/>
  <c r="J15" i="25" s="1"/>
  <c r="I23" i="24"/>
  <c r="I23" i="25" s="1"/>
  <c r="CC31" i="24"/>
  <c r="BZ15" i="24"/>
  <c r="CA5" i="24"/>
  <c r="BS27" i="24"/>
  <c r="BX33" i="24"/>
  <c r="CK29" i="24"/>
  <c r="BV33" i="24"/>
  <c r="BV21" i="24"/>
  <c r="CB27" i="24"/>
  <c r="BZ29" i="24"/>
  <c r="CE15" i="24"/>
  <c r="CK13" i="24"/>
  <c r="CB29" i="24"/>
  <c r="BV9" i="24"/>
  <c r="BT19" i="24"/>
  <c r="BU7" i="24"/>
  <c r="BU5" i="24"/>
  <c r="BY9" i="24"/>
  <c r="CB33" i="24"/>
  <c r="CF23" i="24"/>
  <c r="BW31" i="24"/>
  <c r="BU21" i="24"/>
  <c r="BU33" i="24"/>
  <c r="BU29" i="24"/>
  <c r="BR11" i="24"/>
  <c r="BV11" i="24"/>
  <c r="CE4" i="24"/>
  <c r="CE63" i="24" s="1"/>
  <c r="BV22" i="24"/>
  <c r="BR4" i="24"/>
  <c r="CH4" i="24"/>
  <c r="BV4" i="24"/>
  <c r="BW11" i="24"/>
  <c r="CI25" i="24"/>
  <c r="BV25" i="24"/>
  <c r="BV17" i="24"/>
  <c r="BY25" i="24"/>
  <c r="CC7" i="24"/>
  <c r="BV29" i="24"/>
  <c r="BT35" i="24"/>
  <c r="BT17" i="24"/>
  <c r="CB31" i="24"/>
  <c r="CF17" i="24"/>
  <c r="BZ13" i="24"/>
  <c r="BU35" i="24"/>
  <c r="CF35" i="24"/>
  <c r="BW15" i="24"/>
  <c r="CB11" i="24"/>
  <c r="BV30" i="24"/>
  <c r="BX13" i="24"/>
  <c r="BS17" i="24"/>
  <c r="BV15" i="24"/>
  <c r="BV23" i="24"/>
  <c r="BS19" i="24"/>
  <c r="CI11" i="24"/>
  <c r="CI33" i="24"/>
  <c r="U69" i="16"/>
  <c r="U35" i="24" s="1"/>
  <c r="U35" i="25" s="1"/>
  <c r="CB15" i="24"/>
  <c r="BT5" i="24"/>
  <c r="BV34" i="24"/>
  <c r="BU8" i="24"/>
  <c r="CF21" i="24"/>
  <c r="CF25" i="24"/>
  <c r="U65" i="16"/>
  <c r="U31" i="24" s="1"/>
  <c r="U31" i="25" s="1"/>
  <c r="O61" i="16"/>
  <c r="O27" i="24" s="1"/>
  <c r="O27" i="25" s="1"/>
  <c r="CF9" i="24"/>
  <c r="CC17" i="24"/>
  <c r="CB23" i="24"/>
  <c r="CC9" i="24"/>
  <c r="BX27" i="24"/>
  <c r="BT29" i="24"/>
  <c r="CC25" i="24"/>
  <c r="U59" i="16"/>
  <c r="U25" i="24" s="1"/>
  <c r="U25" i="25" s="1"/>
  <c r="CC13" i="24"/>
  <c r="CE5" i="24"/>
  <c r="BX7" i="24"/>
  <c r="CE7" i="24"/>
  <c r="CC11" i="24"/>
  <c r="BZ7" i="24"/>
  <c r="O59" i="16"/>
  <c r="O25" i="24" s="1"/>
  <c r="O25" i="25" s="1"/>
  <c r="U67" i="16"/>
  <c r="U33" i="24" s="1"/>
  <c r="U33" i="25" s="1"/>
  <c r="CJ34" i="24"/>
  <c r="CB25" i="24"/>
  <c r="BX15" i="24"/>
  <c r="CG31" i="24"/>
  <c r="CE29" i="24"/>
  <c r="O65" i="16"/>
  <c r="O31" i="24" s="1"/>
  <c r="O31" i="25" s="1"/>
  <c r="S67" i="16"/>
  <c r="S33" i="24" s="1"/>
  <c r="S33" i="25" s="1"/>
  <c r="CH34" i="24"/>
  <c r="BZ5" i="24"/>
  <c r="S63" i="16"/>
  <c r="S29" i="24" s="1"/>
  <c r="S29" i="25" s="1"/>
  <c r="S69" i="16"/>
  <c r="S35" i="24" s="1"/>
  <c r="S35" i="25" s="1"/>
  <c r="CG25" i="24"/>
  <c r="CH7" i="24"/>
  <c r="BY19" i="24"/>
  <c r="CF15" i="24"/>
  <c r="CK15" i="24"/>
  <c r="CK23" i="24"/>
  <c r="CC20" i="24"/>
  <c r="CM20" i="24"/>
  <c r="CN32" i="24"/>
  <c r="BW43" i="24"/>
  <c r="CL18" i="24"/>
  <c r="CK47" i="24"/>
  <c r="CP38" i="24"/>
  <c r="CT32" i="24"/>
  <c r="BY37" i="24"/>
  <c r="CL31" i="24"/>
  <c r="CP14" i="24"/>
  <c r="BZ32" i="24"/>
  <c r="CU19" i="24"/>
  <c r="CS48" i="24"/>
  <c r="BZ48" i="24"/>
  <c r="BU44" i="24"/>
  <c r="BX45" i="24"/>
  <c r="CF46" i="24"/>
  <c r="CN49" i="24"/>
  <c r="CO48" i="24"/>
  <c r="CF50" i="24"/>
  <c r="BR50" i="24"/>
  <c r="CC52" i="24"/>
  <c r="CD46" i="24"/>
  <c r="CO49" i="24"/>
  <c r="CH45" i="24"/>
  <c r="BX47" i="24"/>
  <c r="CQ50" i="24"/>
  <c r="BS47" i="24"/>
  <c r="CI51" i="24"/>
  <c r="BZ50" i="24"/>
  <c r="BS51" i="24"/>
  <c r="BR51" i="24"/>
  <c r="BU49" i="24"/>
  <c r="CK49" i="24"/>
  <c r="CJ54" i="24"/>
  <c r="CQ44" i="24"/>
  <c r="CE46" i="24"/>
  <c r="BW46" i="24"/>
  <c r="CE44" i="24"/>
  <c r="CK45" i="24"/>
  <c r="CP47" i="24"/>
  <c r="CN47" i="24"/>
  <c r="CG46" i="24"/>
  <c r="CT45" i="24"/>
  <c r="BZ52" i="24"/>
  <c r="CS49" i="24"/>
  <c r="BV48" i="24"/>
  <c r="CF52" i="24"/>
  <c r="BW49" i="24"/>
  <c r="CQ46" i="24"/>
  <c r="CU50" i="24"/>
  <c r="CR48" i="24"/>
  <c r="BX44" i="24"/>
  <c r="CE45" i="24"/>
  <c r="BV45" i="24"/>
  <c r="CG44" i="24"/>
  <c r="CP48" i="24"/>
  <c r="CC44" i="24"/>
  <c r="CN48" i="24"/>
  <c r="CI45" i="24"/>
  <c r="BV44" i="24"/>
  <c r="BR46" i="24"/>
  <c r="CU45" i="24"/>
  <c r="BU47" i="24"/>
  <c r="BX46" i="24"/>
  <c r="BT51" i="24"/>
  <c r="BY45" i="24"/>
  <c r="CO52" i="24"/>
  <c r="CP51" i="24"/>
  <c r="CR45" i="24"/>
  <c r="CB46" i="24"/>
  <c r="CL47" i="24"/>
  <c r="CG51" i="24"/>
  <c r="BZ46" i="24"/>
  <c r="BY51" i="24"/>
  <c r="CN51" i="24"/>
  <c r="CF48" i="24"/>
  <c r="CB50" i="24"/>
  <c r="BX52" i="24"/>
  <c r="BW51" i="24"/>
  <c r="BX50" i="24"/>
  <c r="CG49" i="24"/>
  <c r="BT50" i="24"/>
  <c r="BS45" i="24"/>
  <c r="CI49" i="24"/>
  <c r="BV51" i="24"/>
  <c r="CR50" i="24"/>
  <c r="CE50" i="24"/>
  <c r="CB47" i="24"/>
  <c r="CK46" i="24"/>
  <c r="BU46" i="24"/>
  <c r="CB48" i="24"/>
  <c r="BT46" i="24"/>
  <c r="CA44" i="24"/>
  <c r="CI44" i="24"/>
  <c r="CL45" i="24"/>
  <c r="CO46" i="24"/>
  <c r="CC48" i="24"/>
  <c r="BV46" i="24"/>
  <c r="BR44" i="24"/>
  <c r="CP44" i="24"/>
  <c r="BU45" i="24"/>
  <c r="CF44" i="24"/>
  <c r="CC45" i="24"/>
  <c r="BZ44" i="24"/>
  <c r="BR45" i="24"/>
  <c r="CU46" i="24"/>
  <c r="BU48" i="24"/>
  <c r="BT52" i="24"/>
  <c r="BY50" i="24"/>
  <c r="CO51" i="24"/>
  <c r="CR46" i="24"/>
  <c r="CB45" i="24"/>
  <c r="CL48" i="24"/>
  <c r="CC50" i="24"/>
  <c r="BW47" i="24"/>
  <c r="CT52" i="24"/>
  <c r="CR51" i="24"/>
  <c r="CM50" i="24"/>
  <c r="CP49" i="24"/>
  <c r="CJ51" i="24"/>
  <c r="CM44" i="24"/>
  <c r="CL51" i="24"/>
  <c r="CD48" i="24"/>
  <c r="CL50" i="24"/>
  <c r="CT48" i="24"/>
  <c r="CE52" i="24"/>
  <c r="CS45" i="24"/>
  <c r="CN46" i="24"/>
  <c r="CI46" i="24"/>
  <c r="CU44" i="24"/>
  <c r="CA48" i="24"/>
  <c r="BY46" i="24"/>
  <c r="CJ46" i="24"/>
  <c r="CH47" i="24"/>
  <c r="CE48" i="24"/>
  <c r="BT45" i="24"/>
  <c r="CS46" i="24"/>
  <c r="CB44" i="24"/>
  <c r="CL44" i="24"/>
  <c r="CC47" i="24"/>
  <c r="CN44" i="24"/>
  <c r="BS44" i="24"/>
  <c r="CS47" i="24"/>
  <c r="CT44" i="24"/>
  <c r="CR44" i="24"/>
  <c r="CL46" i="24"/>
  <c r="CO44" i="24"/>
  <c r="CO45" i="24"/>
  <c r="BZ47" i="24"/>
  <c r="BW45" i="24"/>
  <c r="CN45" i="24"/>
  <c r="BY44" i="24"/>
  <c r="CC46" i="24"/>
  <c r="BT44" i="24"/>
  <c r="CG45" i="24"/>
  <c r="CK44" i="24"/>
  <c r="CI47" i="24"/>
  <c r="CA47" i="24"/>
  <c r="CG47" i="24"/>
  <c r="BZ51" i="24"/>
  <c r="CQ51" i="24"/>
  <c r="BV47" i="24"/>
  <c r="CF51" i="24"/>
  <c r="CA49" i="24"/>
  <c r="CS51" i="24"/>
  <c r="BU52" i="24"/>
  <c r="BS49" i="24"/>
  <c r="CH52" i="24"/>
  <c r="CM53" i="24"/>
  <c r="BY47" i="24"/>
  <c r="CM45" i="24"/>
  <c r="CJ48" i="24"/>
  <c r="BT47" i="24"/>
  <c r="CT49" i="24"/>
  <c r="BV49" i="24"/>
  <c r="CA51" i="24"/>
  <c r="CU48" i="24"/>
  <c r="CA45" i="24"/>
  <c r="CQ47" i="24"/>
  <c r="CK51" i="24"/>
  <c r="CD54" i="24"/>
  <c r="CH54" i="24"/>
  <c r="CO35" i="24"/>
  <c r="BT27" i="24"/>
  <c r="CN40" i="24"/>
  <c r="CJ6" i="24"/>
  <c r="CU16" i="24"/>
  <c r="CU5" i="24"/>
  <c r="CQ41" i="24"/>
  <c r="BV36" i="24"/>
  <c r="BY6" i="24"/>
  <c r="CP36" i="24"/>
  <c r="CC16" i="24"/>
  <c r="CT40" i="24"/>
  <c r="CP15" i="24"/>
  <c r="S61" i="16"/>
  <c r="S27" i="24" s="1"/>
  <c r="S27" i="25" s="1"/>
  <c r="CU36" i="24"/>
  <c r="CB39" i="24"/>
  <c r="CS19" i="24"/>
  <c r="CA26" i="24"/>
  <c r="CJ24" i="24"/>
  <c r="BX40" i="24"/>
  <c r="BW16" i="24"/>
  <c r="CJ8" i="24"/>
  <c r="CK36" i="24"/>
  <c r="CA16" i="24"/>
  <c r="CT18" i="24"/>
  <c r="CA38" i="24"/>
  <c r="CE27" i="24"/>
  <c r="BV10" i="24"/>
  <c r="CM25" i="24"/>
  <c r="CQ37" i="24"/>
  <c r="CF6" i="24"/>
  <c r="BZ14" i="24"/>
  <c r="CL35" i="24"/>
  <c r="BU41" i="24"/>
  <c r="BU38" i="24"/>
  <c r="CS29" i="24"/>
  <c r="BW12" i="24"/>
  <c r="BV24" i="24"/>
  <c r="BV13" i="24"/>
  <c r="BU17" i="24"/>
  <c r="CB30" i="24"/>
  <c r="BZ23" i="24"/>
  <c r="CG38" i="24"/>
  <c r="BX6" i="24"/>
  <c r="CM26" i="24"/>
  <c r="CO7" i="24"/>
  <c r="BX38" i="24"/>
  <c r="BX14" i="24"/>
  <c r="CU25" i="24"/>
  <c r="CN38" i="24"/>
  <c r="BY39" i="24"/>
  <c r="CD6" i="24"/>
  <c r="CJ41" i="24"/>
  <c r="CK24" i="24"/>
  <c r="CJ37" i="24"/>
  <c r="BT14" i="24"/>
  <c r="CL16" i="24"/>
  <c r="BX32" i="24"/>
  <c r="BY16" i="24"/>
  <c r="BT8" i="24"/>
  <c r="BY14" i="24"/>
  <c r="CD12" i="24"/>
  <c r="CU32" i="24"/>
  <c r="BU6" i="24"/>
  <c r="CK14" i="24"/>
  <c r="CC6" i="24"/>
  <c r="BS11" i="24"/>
  <c r="CS32" i="24"/>
  <c r="BW30" i="24"/>
  <c r="CB18" i="24"/>
  <c r="CU29" i="24"/>
  <c r="CD28" i="24"/>
  <c r="CP22" i="24"/>
  <c r="CD24" i="24"/>
  <c r="CT14" i="24"/>
  <c r="CD39" i="24"/>
  <c r="CJ42" i="24"/>
  <c r="S59" i="16"/>
  <c r="S25" i="24" s="1"/>
  <c r="S25" i="25" s="1"/>
  <c r="CJ39" i="24"/>
  <c r="CR14" i="24"/>
  <c r="BT36" i="24"/>
  <c r="CO6" i="24"/>
  <c r="CB34" i="24"/>
  <c r="CH37" i="24"/>
  <c r="BU34" i="24"/>
  <c r="CB12" i="24"/>
  <c r="CQ32" i="24"/>
  <c r="CB14" i="24"/>
  <c r="CN36" i="24"/>
  <c r="CQ24" i="24"/>
  <c r="CO42" i="24"/>
  <c r="CU23" i="24"/>
  <c r="CC37" i="24"/>
  <c r="CF14" i="24"/>
  <c r="CJ38" i="24"/>
  <c r="CO28" i="24"/>
  <c r="CC34" i="24"/>
  <c r="BY22" i="24"/>
  <c r="CL40" i="24"/>
  <c r="CP5" i="24"/>
  <c r="CK30" i="24"/>
  <c r="BY26" i="24"/>
  <c r="CT8" i="24"/>
  <c r="CM15" i="24"/>
  <c r="CA36" i="24"/>
  <c r="CE8" i="24"/>
  <c r="CS10" i="24"/>
  <c r="CC10" i="24"/>
  <c r="CL24" i="24"/>
  <c r="BU15" i="24"/>
  <c r="CS37" i="24"/>
  <c r="CT7" i="24"/>
  <c r="BR12" i="24"/>
  <c r="CS14" i="24"/>
  <c r="BW38" i="24"/>
  <c r="CN22" i="24"/>
  <c r="CQ28" i="24"/>
  <c r="CL8" i="24"/>
  <c r="CM32" i="24"/>
  <c r="CM8" i="24"/>
  <c r="CI40" i="24"/>
  <c r="BX24" i="24"/>
  <c r="CF28" i="24"/>
  <c r="CS34" i="24"/>
  <c r="CS24" i="24"/>
  <c r="CO24" i="24"/>
  <c r="BS12" i="24"/>
  <c r="CE38" i="24"/>
  <c r="BW32" i="24"/>
  <c r="CR23" i="24"/>
  <c r="CB6" i="24"/>
  <c r="CO22" i="24"/>
  <c r="CR40" i="24"/>
  <c r="CG28" i="24"/>
  <c r="BS20" i="24"/>
  <c r="U63" i="16"/>
  <c r="U29" i="24" s="1"/>
  <c r="U29" i="25" s="1"/>
  <c r="U61" i="16"/>
  <c r="U27" i="24" s="1"/>
  <c r="U27" i="25" s="1"/>
  <c r="O69" i="16"/>
  <c r="O35" i="24" s="1"/>
  <c r="O35" i="25" s="1"/>
  <c r="O67" i="16"/>
  <c r="O33" i="24" s="1"/>
  <c r="O33" i="25" s="1"/>
  <c r="S65" i="16"/>
  <c r="S31" i="24" s="1"/>
  <c r="S31" i="25" s="1"/>
  <c r="O63" i="16"/>
  <c r="O29" i="24" s="1"/>
  <c r="O29" i="25" s="1"/>
  <c r="CQ38" i="24"/>
  <c r="CF36" i="24"/>
  <c r="BW34" i="24"/>
  <c r="BW22" i="24"/>
  <c r="CM13" i="24"/>
  <c r="CF16" i="24"/>
  <c r="BV12" i="24"/>
  <c r="CF38" i="24"/>
  <c r="CS22" i="24"/>
  <c r="CB28" i="24"/>
  <c r="BS28" i="24"/>
  <c r="BZ16" i="24"/>
  <c r="CC18" i="24"/>
  <c r="BW19" i="24"/>
  <c r="BU20" i="24"/>
  <c r="BW37" i="24"/>
  <c r="BU30" i="24"/>
  <c r="CK38" i="24"/>
  <c r="CH12" i="24"/>
  <c r="BT26" i="24"/>
  <c r="CB36" i="24"/>
  <c r="BT16" i="24"/>
  <c r="BU22" i="24"/>
  <c r="CR38" i="24"/>
  <c r="BX9" i="24"/>
  <c r="BW20" i="24"/>
  <c r="BX20" i="24"/>
  <c r="BX10" i="24"/>
  <c r="BU19" i="24"/>
  <c r="BX19" i="24"/>
  <c r="CU13" i="24"/>
  <c r="CU14" i="24"/>
  <c r="BS31" i="24"/>
  <c r="BS32" i="24"/>
  <c r="BT34" i="24"/>
  <c r="CD14" i="24"/>
  <c r="BS14" i="24"/>
  <c r="CD19" i="24"/>
  <c r="BU13" i="24"/>
  <c r="CD13" i="24"/>
  <c r="CD20" i="24"/>
  <c r="CQ14" i="24"/>
  <c r="CO20" i="24"/>
  <c r="BR31" i="24"/>
  <c r="BU14" i="24"/>
  <c r="CL20" i="24"/>
  <c r="BS13" i="24"/>
  <c r="CT16" i="24"/>
  <c r="BR32" i="24"/>
  <c r="CQ13" i="24"/>
  <c r="CL19" i="24"/>
  <c r="CK39" i="24"/>
  <c r="CA27" i="24"/>
  <c r="BV27" i="24"/>
  <c r="CU27" i="24"/>
  <c r="CM12" i="24"/>
  <c r="BU11" i="24"/>
  <c r="BZ33" i="24"/>
  <c r="BV18" i="24"/>
  <c r="CT42" i="24"/>
  <c r="BT15" i="24"/>
  <c r="CK40" i="24"/>
  <c r="CA28" i="24"/>
  <c r="BV28" i="24"/>
  <c r="CU28" i="24"/>
  <c r="BZ34" i="24"/>
  <c r="BX26" i="24"/>
  <c r="CE13" i="24"/>
  <c r="CI10" i="24"/>
  <c r="CE31" i="24"/>
  <c r="BZ28" i="24"/>
  <c r="CD18" i="24"/>
  <c r="BX25" i="24"/>
  <c r="CE14" i="24"/>
  <c r="CI9" i="24"/>
  <c r="CE32" i="24"/>
  <c r="BU12" i="24"/>
  <c r="BZ27" i="24"/>
  <c r="CD17" i="24"/>
  <c r="BT42" i="24"/>
  <c r="BT40" i="24"/>
  <c r="CK42" i="24"/>
  <c r="CG18" i="24"/>
  <c r="CR26" i="24"/>
  <c r="CU42" i="24"/>
  <c r="CK27" i="24"/>
  <c r="CA32" i="24"/>
  <c r="CO16" i="24"/>
  <c r="CL26" i="24"/>
  <c r="BZ12" i="24"/>
  <c r="CJ40" i="24"/>
  <c r="CS26" i="24"/>
  <c r="CL12" i="24"/>
  <c r="BT6" i="24"/>
  <c r="CN11" i="24"/>
  <c r="BT41" i="24"/>
  <c r="BZ17" i="24"/>
  <c r="BT39" i="24"/>
  <c r="BV20" i="24"/>
  <c r="CK41" i="24"/>
  <c r="CS17" i="24"/>
  <c r="CG17" i="24"/>
  <c r="BS29" i="24"/>
  <c r="CR25" i="24"/>
  <c r="BS15" i="24"/>
  <c r="CE12" i="24"/>
  <c r="CU41" i="24"/>
  <c r="BR41" i="24"/>
  <c r="CQ29" i="24"/>
  <c r="BS41" i="24"/>
  <c r="CK28" i="24"/>
  <c r="CA31" i="24"/>
  <c r="CO15" i="24"/>
  <c r="CR41" i="24"/>
  <c r="CL25" i="24"/>
  <c r="BR15" i="24"/>
  <c r="BZ11" i="24"/>
  <c r="BY11" i="24"/>
  <c r="CA11" i="24"/>
  <c r="CG41" i="24"/>
  <c r="CJ18" i="24"/>
  <c r="CS25" i="24"/>
  <c r="CN12" i="24"/>
  <c r="BZ18" i="24"/>
  <c r="CE11" i="24"/>
  <c r="BS42" i="24"/>
  <c r="CG42" i="24"/>
  <c r="CT10" i="24"/>
  <c r="CB38" i="24"/>
  <c r="CN18" i="24"/>
  <c r="CG11" i="24"/>
  <c r="BW18" i="24"/>
  <c r="BY30" i="24"/>
  <c r="BR25" i="24"/>
  <c r="CT12" i="24"/>
  <c r="CI41" i="24"/>
  <c r="CK17" i="24"/>
  <c r="CO29" i="24"/>
  <c r="BV40" i="24"/>
  <c r="BW27" i="24"/>
  <c r="CP20" i="24"/>
  <c r="CJ12" i="24"/>
  <c r="CN42" i="24"/>
  <c r="CE17" i="24"/>
  <c r="CR30" i="24"/>
  <c r="CT25" i="24"/>
  <c r="CO40" i="24"/>
  <c r="CI16" i="24"/>
  <c r="CB19" i="24"/>
  <c r="CU11" i="24"/>
  <c r="BX42" i="24"/>
  <c r="BS40" i="24"/>
  <c r="CO14" i="24"/>
  <c r="BW42" i="24"/>
  <c r="CI19" i="24"/>
  <c r="CO12" i="24"/>
  <c r="BR29" i="24"/>
  <c r="CA20" i="24"/>
  <c r="BV19" i="24"/>
  <c r="CS18" i="24"/>
  <c r="BS30" i="24"/>
  <c r="BS16" i="24"/>
  <c r="BR42" i="24"/>
  <c r="CQ30" i="24"/>
  <c r="CR42" i="24"/>
  <c r="BR16" i="24"/>
  <c r="BY12" i="24"/>
  <c r="CA12" i="24"/>
  <c r="CJ17" i="24"/>
  <c r="CG12" i="24"/>
  <c r="BW17" i="24"/>
  <c r="BY29" i="24"/>
  <c r="BR26" i="24"/>
  <c r="CT11" i="24"/>
  <c r="CI42" i="24"/>
  <c r="CK18" i="24"/>
  <c r="CO30" i="24"/>
  <c r="BV39" i="24"/>
  <c r="BW28" i="24"/>
  <c r="CP19" i="24"/>
  <c r="CJ11" i="24"/>
  <c r="CN41" i="24"/>
  <c r="CE18" i="24"/>
  <c r="CR29" i="24"/>
  <c r="CT26" i="24"/>
  <c r="CO39" i="24"/>
  <c r="CI15" i="24"/>
  <c r="CB20" i="24"/>
  <c r="CU12" i="24"/>
  <c r="BX41" i="24"/>
  <c r="BS39" i="24"/>
  <c r="CO13" i="24"/>
  <c r="BW41" i="24"/>
  <c r="CI20" i="24"/>
  <c r="CO11" i="24"/>
  <c r="BR30" i="24"/>
  <c r="CA19" i="24"/>
  <c r="BW24" i="24"/>
  <c r="BZ9" i="24"/>
  <c r="BT38" i="24"/>
  <c r="CQ8" i="24"/>
  <c r="CG5" i="24"/>
  <c r="BR33" i="24"/>
  <c r="BR43" i="24"/>
  <c r="CP9" i="24"/>
  <c r="CS28" i="24"/>
  <c r="CP11" i="24"/>
  <c r="CH18" i="24"/>
  <c r="CU43" i="24"/>
  <c r="BR20" i="24"/>
  <c r="BW6" i="24"/>
  <c r="BS8" i="24"/>
  <c r="CP34" i="24"/>
  <c r="CT43" i="24"/>
  <c r="CR43" i="24"/>
  <c r="BW23" i="24"/>
  <c r="CU18" i="24"/>
  <c r="CH10" i="24"/>
  <c r="BZ10" i="24"/>
  <c r="BT37" i="24"/>
  <c r="CP28" i="24"/>
  <c r="CQ7" i="24"/>
  <c r="CS35" i="24"/>
  <c r="CK20" i="24"/>
  <c r="BY33" i="24"/>
  <c r="CG6" i="24"/>
  <c r="CF20" i="24"/>
  <c r="CR22" i="24"/>
  <c r="CS5" i="24"/>
  <c r="CQ22" i="24"/>
  <c r="BR34" i="24"/>
  <c r="BR37" i="24"/>
  <c r="BT9" i="24"/>
  <c r="CP10" i="24"/>
  <c r="BY23" i="24"/>
  <c r="CS27" i="24"/>
  <c r="CR7" i="24"/>
  <c r="CI36" i="24"/>
  <c r="CP12" i="24"/>
  <c r="CG14" i="24"/>
  <c r="CF42" i="24"/>
  <c r="CH17" i="24"/>
  <c r="CF43" i="24"/>
  <c r="CG9" i="24"/>
  <c r="CE23" i="24"/>
  <c r="CJ14" i="24"/>
  <c r="BX22" i="24"/>
  <c r="BU27" i="24"/>
  <c r="CE33" i="24"/>
  <c r="CN34" i="24"/>
  <c r="BS24" i="24"/>
  <c r="BT43" i="24"/>
  <c r="BR28" i="24"/>
  <c r="BS21" i="24"/>
  <c r="CR28" i="24"/>
  <c r="BS36" i="24"/>
  <c r="CF11" i="24"/>
  <c r="BR19" i="24"/>
  <c r="CU34" i="24"/>
  <c r="BR24" i="24"/>
  <c r="CG21" i="24"/>
  <c r="CJ19" i="24"/>
  <c r="CP33" i="24"/>
  <c r="CQ43" i="24"/>
  <c r="CU17" i="24"/>
  <c r="CP27" i="24"/>
  <c r="CK19" i="24"/>
  <c r="BY34" i="24"/>
  <c r="CF19" i="24"/>
  <c r="CR21" i="24"/>
  <c r="CP43" i="24"/>
  <c r="BT10" i="24"/>
  <c r="BY24" i="24"/>
  <c r="CI35" i="24"/>
  <c r="CF41" i="24"/>
  <c r="CJ13" i="24"/>
  <c r="CN33" i="24"/>
  <c r="BS23" i="24"/>
  <c r="CJ43" i="24"/>
  <c r="BR27" i="24"/>
  <c r="CR27" i="24"/>
  <c r="BS35" i="24"/>
  <c r="CH43" i="24"/>
  <c r="BW40" i="24"/>
  <c r="CU8" i="24"/>
  <c r="CB22" i="24"/>
  <c r="CD10" i="24"/>
  <c r="BW36" i="24"/>
  <c r="CM22" i="24"/>
  <c r="BX17" i="24"/>
  <c r="BS34" i="24"/>
  <c r="CA43" i="24"/>
  <c r="CI43" i="24"/>
  <c r="CO43" i="24"/>
  <c r="BR10" i="24"/>
  <c r="BU10" i="24"/>
  <c r="CT27" i="24"/>
  <c r="CB43" i="24"/>
  <c r="BS26" i="24"/>
  <c r="CE20" i="24"/>
  <c r="CT23" i="24"/>
  <c r="CL10" i="24"/>
  <c r="BW8" i="24"/>
  <c r="BT21" i="24"/>
  <c r="CN27" i="24"/>
  <c r="CP18" i="24"/>
  <c r="CT36" i="24"/>
  <c r="CE43" i="24"/>
  <c r="CP24" i="24"/>
  <c r="BS6" i="24"/>
  <c r="BY18" i="24"/>
  <c r="CR9" i="24"/>
  <c r="CQ10" i="24"/>
  <c r="BY27" i="24"/>
  <c r="BV5" i="24"/>
  <c r="BR36" i="24"/>
  <c r="BR40" i="24"/>
  <c r="CH19" i="24"/>
  <c r="CF33" i="24"/>
  <c r="CC43" i="24"/>
  <c r="CN10" i="24"/>
  <c r="CL28" i="24"/>
  <c r="CR36" i="24"/>
  <c r="BW26" i="24"/>
  <c r="BR21" i="24"/>
  <c r="CQ18" i="24"/>
  <c r="BZ43" i="24"/>
  <c r="CD43" i="24"/>
  <c r="BU23" i="24"/>
  <c r="CA17" i="24"/>
  <c r="BS10" i="24"/>
  <c r="BS37" i="24"/>
  <c r="BR8" i="24"/>
  <c r="CQ35" i="24"/>
  <c r="BR13" i="24"/>
  <c r="CT20" i="24"/>
  <c r="BR5" i="24"/>
  <c r="BR18" i="24"/>
  <c r="CI28" i="24"/>
  <c r="CB10" i="24"/>
  <c r="CL22" i="24"/>
  <c r="BW5" i="24"/>
  <c r="BS7" i="24"/>
  <c r="CH9" i="24"/>
  <c r="CS36" i="24"/>
  <c r="CS6" i="24"/>
  <c r="CQ21" i="24"/>
  <c r="BU43" i="24"/>
  <c r="BR38" i="24"/>
  <c r="CG43" i="24"/>
  <c r="CR8" i="24"/>
  <c r="CG13" i="24"/>
  <c r="BY43" i="24"/>
  <c r="CG10" i="24"/>
  <c r="CE24" i="24"/>
  <c r="BX21" i="24"/>
  <c r="BU28" i="24"/>
  <c r="CE34" i="24"/>
  <c r="BS22" i="24"/>
  <c r="CF12" i="24"/>
  <c r="CU33" i="24"/>
  <c r="BR23" i="24"/>
  <c r="CG22" i="24"/>
  <c r="CJ20" i="24"/>
  <c r="CM21" i="24"/>
  <c r="BX18" i="24"/>
  <c r="BS33" i="24"/>
  <c r="BX43" i="24"/>
  <c r="BR9" i="24"/>
  <c r="BU9" i="24"/>
  <c r="CT28" i="24"/>
  <c r="BS25" i="24"/>
  <c r="CE19" i="24"/>
  <c r="CL43" i="24"/>
  <c r="CT24" i="24"/>
  <c r="CL9" i="24"/>
  <c r="BW7" i="24"/>
  <c r="BT22" i="24"/>
  <c r="CN28" i="24"/>
  <c r="CP17" i="24"/>
  <c r="CT35" i="24"/>
  <c r="CN43" i="24"/>
  <c r="CP23" i="24"/>
  <c r="BS5" i="24"/>
  <c r="BY17" i="24"/>
  <c r="CR10" i="24"/>
  <c r="CQ9" i="24"/>
  <c r="BY28" i="24"/>
  <c r="BV6" i="24"/>
  <c r="BS43" i="24"/>
  <c r="BR35" i="24"/>
  <c r="BR39" i="24"/>
  <c r="CH20" i="24"/>
  <c r="CF34" i="24"/>
  <c r="CN9" i="24"/>
  <c r="CL27" i="24"/>
  <c r="CR35" i="24"/>
  <c r="BW25" i="24"/>
  <c r="BR22" i="24"/>
  <c r="CQ17" i="24"/>
  <c r="BV43" i="24"/>
  <c r="BU24" i="24"/>
  <c r="CA18" i="24"/>
  <c r="BS9" i="24"/>
  <c r="BS38" i="24"/>
  <c r="BR7" i="24"/>
  <c r="CQ36" i="24"/>
  <c r="BR14" i="24"/>
  <c r="CT19" i="24"/>
  <c r="BR6" i="24"/>
  <c r="BR17" i="24"/>
  <c r="CK43" i="24"/>
  <c r="CI27" i="24"/>
  <c r="CB9" i="24"/>
  <c r="CL21" i="24"/>
  <c r="BZ35" i="24" l="1"/>
  <c r="CK9" i="24"/>
  <c r="BT7" i="24"/>
  <c r="BT11" i="24"/>
  <c r="CK7" i="24"/>
  <c r="CK31" i="24"/>
  <c r="CD27" i="24"/>
  <c r="CF13" i="24"/>
  <c r="CF31" i="24"/>
  <c r="CF27" i="24"/>
  <c r="CF7" i="24"/>
  <c r="CH21" i="24"/>
  <c r="CH15" i="24"/>
  <c r="CJ23" i="24"/>
  <c r="CG19" i="24"/>
  <c r="CJ7" i="24"/>
  <c r="CC15" i="24"/>
  <c r="CG15" i="24"/>
  <c r="CG35" i="24"/>
  <c r="CI21" i="24"/>
  <c r="CH23" i="24"/>
  <c r="CI13" i="24"/>
  <c r="CB17" i="24"/>
  <c r="CB21" i="24"/>
  <c r="CA25" i="24"/>
  <c r="CB35" i="24"/>
  <c r="CA21" i="24"/>
  <c r="CA33" i="24"/>
  <c r="CA15" i="24"/>
  <c r="CB5" i="24"/>
  <c r="CC21" i="24"/>
  <c r="CC35" i="24"/>
  <c r="CC19" i="24"/>
  <c r="CE25" i="24"/>
  <c r="CE21" i="24"/>
  <c r="CD23" i="24"/>
  <c r="CD7" i="24"/>
  <c r="CE9" i="24"/>
  <c r="CD9" i="24"/>
  <c r="CC33" i="24"/>
  <c r="CC5" i="24"/>
  <c r="BW35" i="24"/>
  <c r="BX23" i="24"/>
  <c r="BW33" i="24"/>
  <c r="BY15" i="24"/>
  <c r="BW29" i="24"/>
  <c r="BX11" i="24"/>
  <c r="BY31" i="24"/>
  <c r="BY13" i="24"/>
  <c r="BY21" i="24"/>
  <c r="BX31" i="24"/>
  <c r="BW9" i="24"/>
  <c r="CM43" i="24"/>
  <c r="BY7" i="24"/>
  <c r="CI29" i="24"/>
  <c r="BY35" i="24"/>
  <c r="CI23" i="24"/>
  <c r="CC27" i="24"/>
  <c r="CH28" i="24"/>
  <c r="BX35" i="24"/>
  <c r="CD15" i="24"/>
  <c r="CI31" i="24"/>
  <c r="CG23" i="24"/>
  <c r="BX29" i="24"/>
  <c r="CJ33" i="24"/>
  <c r="CA35" i="24"/>
  <c r="CK21" i="24"/>
  <c r="CI5" i="24"/>
  <c r="BT25" i="24"/>
  <c r="CD21" i="24"/>
  <c r="BZ21" i="24"/>
  <c r="BT31" i="24"/>
  <c r="CI7" i="24"/>
  <c r="BU31" i="24"/>
  <c r="BV31" i="24"/>
  <c r="BV63" i="24" s="1"/>
  <c r="CC29" i="24"/>
  <c r="CH26" i="24"/>
  <c r="CJ25" i="24"/>
  <c r="BY5" i="24"/>
  <c r="CG7" i="24"/>
  <c r="CJ31" i="24"/>
  <c r="BU25" i="24"/>
  <c r="CJ21" i="24"/>
  <c r="CA13" i="24"/>
  <c r="BT23" i="24"/>
  <c r="CG27" i="24"/>
  <c r="CJ35" i="24"/>
  <c r="CK33" i="24"/>
  <c r="BS63" i="24"/>
  <c r="CB63" i="24"/>
  <c r="CK63" i="24"/>
  <c r="BY63" i="24"/>
  <c r="CQ63" i="24"/>
  <c r="CT63" i="24"/>
  <c r="CR63" i="24"/>
  <c r="CO63" i="24"/>
  <c r="CJ44" i="24"/>
  <c r="CJ50" i="24"/>
  <c r="CM52" i="24"/>
  <c r="CD52" i="24"/>
  <c r="CM46" i="24"/>
  <c r="CD44" i="24"/>
  <c r="CH48" i="24"/>
  <c r="CH44" i="24"/>
  <c r="CJ49" i="24"/>
  <c r="CM51" i="24"/>
  <c r="CD51" i="24"/>
  <c r="CD50" i="24"/>
  <c r="CJ52" i="24"/>
  <c r="CH46" i="24"/>
  <c r="CM54" i="24"/>
  <c r="CM47" i="24"/>
  <c r="CH50" i="24"/>
  <c r="CJ47" i="24"/>
  <c r="CD45" i="24"/>
  <c r="CM48" i="24"/>
  <c r="CH49" i="24"/>
  <c r="CD49" i="24"/>
  <c r="CH51" i="24"/>
  <c r="CD47" i="24"/>
  <c r="CJ45" i="24"/>
  <c r="CH40" i="24"/>
  <c r="CD26" i="24"/>
  <c r="CH30" i="24"/>
  <c r="CJ36" i="24"/>
  <c r="CD32" i="24"/>
  <c r="CH36" i="24"/>
  <c r="CD40" i="24"/>
  <c r="CH38" i="24"/>
  <c r="CD38" i="24"/>
  <c r="CD41" i="24"/>
  <c r="CJ26" i="24"/>
  <c r="CM40" i="24"/>
  <c r="CJ32" i="24"/>
  <c r="CM37" i="24"/>
  <c r="CM38" i="24"/>
  <c r="CD30" i="24"/>
  <c r="CH41" i="24"/>
  <c r="CD36" i="24"/>
  <c r="CM36" i="24"/>
  <c r="CJ28" i="24"/>
  <c r="CM41" i="24"/>
  <c r="CD29" i="24"/>
  <c r="CH42" i="24"/>
  <c r="CD35" i="24"/>
  <c r="CM35" i="24"/>
  <c r="CJ27" i="24"/>
  <c r="CM42" i="24"/>
  <c r="CH32" i="24"/>
  <c r="CM28" i="24"/>
  <c r="CD34" i="24"/>
  <c r="CM30" i="24"/>
  <c r="CM34" i="24"/>
  <c r="CJ30" i="24"/>
  <c r="CH31" i="24"/>
  <c r="CM27" i="24"/>
  <c r="CD33" i="24"/>
  <c r="CM29" i="24"/>
  <c r="CM33" i="24"/>
  <c r="CJ29" i="24"/>
  <c r="CF63" i="24" l="1"/>
  <c r="BZ63" i="24"/>
  <c r="BX63" i="24"/>
  <c r="CC63" i="24"/>
  <c r="BW63" i="24"/>
  <c r="BU63" i="24"/>
  <c r="CD25" i="24"/>
  <c r="CG63" i="24"/>
  <c r="BT63" i="24"/>
  <c r="CD31" i="24"/>
  <c r="CH35" i="24"/>
  <c r="CH25" i="24"/>
  <c r="CH29" i="24"/>
  <c r="CH27" i="24"/>
  <c r="CH33" i="24"/>
  <c r="CJ63" i="24"/>
  <c r="CM63" i="24"/>
  <c r="CD63" i="24" l="1"/>
  <c r="CH63"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tc={357F0957-5CA7-4966-B851-379D180BC8A4}</author>
    <author>tc={DF905C3F-8FA1-4A4C-93A0-5A53BE8EFACF}</author>
    <author>tc={E401F26D-5442-4118-B81D-408C8D04929A}</author>
    <author>tc={9A54D666-3D47-46F5-A05A-59714074D5B4}</author>
  </authors>
  <commentList>
    <comment ref="B5" authorId="0" shapeId="0" xr:uid="{357F0957-5CA7-4966-B851-379D180BC8A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R refers to length measuring from center of rotation (hub) to blade tip.
* NOT blade length measuring from root to tip</t>
      </text>
    </comment>
    <comment ref="AL5" authorId="1" shapeId="0" xr:uid="{DF905C3F-8FA1-4A4C-93A0-5A53BE8EFAC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R refers to length measuring from center of rotation (hub) to blade tip.
* NOT blade length measuring from root to tip</t>
      </text>
    </comment>
    <comment ref="BL5" authorId="2" shapeId="0" xr:uid="{E401F26D-5442-4118-B81D-408C8D04929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Hinge length is subtracted, to map 0 with h_hige. 
0-root (blade grip)  will later be modeled as rigid part</t>
      </text>
    </comment>
    <comment ref="BM6" authorId="3" shapeId="0" xr:uid="{9A54D666-3D47-46F5-A05A-59714074D5B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ρΑ: 
[kg/m] = 
[ (N*s^2/m) /m ] = [N*s^2/m^2]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tc={E4EC83B1-5F09-4EFD-8FFA-C463937DC071}</author>
    <author>tc={98DACC4C-27D8-40DD-9B92-F61F87828370}</author>
    <author>tc={0CA022F1-4B52-4AFF-9D6F-AA1B50EFB256}</author>
    <author>tc={EABE4716-81C5-477D-9BEC-418869DFB7B6}</author>
    <author>tc={AB521802-CC3C-4804-B8AF-5C7B667C8FCB}</author>
    <author>tc={30B9EECB-B8C0-4488-8167-D5903F39A418}</author>
    <author>tc={0902CB56-B774-4CB8-93F0-03EE603EE0EC}</author>
    <author>tc={675B9D49-5BA5-4EF5-9BE1-824CA9C74ACB}</author>
    <author>tc={B54BFD45-B43F-4D20-B3EC-3727FD99AD94}</author>
    <author>tc={98810EDF-9342-41DA-A5E2-D2E722705569}</author>
    <author>tc={7A1CDE47-25E0-4B7E-957D-195B51EBA428}</author>
    <author>tc={2490E9D3-B2CC-46A0-9880-71D93E55D37F}</author>
    <author>tc={6C29599B-90CF-4201-A857-10CD16E839EC}</author>
    <author>tc={7564C0AE-A8AA-4114-8033-DD7D5FF409E2}</author>
    <author>tc={4D4B6678-4A97-44D9-A990-8C0CD6549021}</author>
    <author>tc={45DD94FF-306F-41C1-A5BA-6BD763B8CCD0}</author>
    <author>tc={BCFEF4EE-F9CB-476F-A4F3-06FAE3EA0392}</author>
    <author>tc={5AEC1832-750F-487C-A802-E71138B8D8D2}</author>
    <author>tc={04324477-1D75-4195-8001-1D14D1391C35}</author>
    <author>tc={971D41B4-FDB9-4AAB-96F2-4996762954B6}</author>
    <author>tc={94750C88-427F-45C3-8F87-0BECE364532B}</author>
    <author>tc={DA00541B-5E2D-47A6-AEB2-BC9566B7EF00}</author>
    <author>tc={001B3D60-482E-48F0-A4DF-1D8B74FDC381}</author>
    <author>tc={0F1D05A9-3A9A-4B65-AD33-042C584FF651}</author>
    <author>tc={CF725CEE-B210-4B06-B588-5B2582F1F708}</author>
    <author>tc={DF82F761-754D-4842-A282-1DCF57CC6D19}</author>
    <author>tc={454483D8-EA2E-4FAF-BB55-34B7FFCA614D}</author>
    <author>tc={C9A4E03F-FE01-4750-B212-0AB5F607BCA5}</author>
    <author>tc={8FAC3D2E-595A-4256-885B-C0186D33B4AC}</author>
    <author>tc={E0A13290-45E4-4349-A01F-89D76059FF49}</author>
    <author>tc={3349A3DA-C368-4732-85CF-012D7ACEF394}</author>
    <author>tc={EC7A8FE4-3464-451A-BF34-721293FBC09A}</author>
    <author>tc={597BED57-08C5-44CB-A48A-B3AA86E090F9}</author>
    <author>tc={0F5DEA01-A8EB-4CC8-AFCA-D3428879A977}</author>
    <author>tc={AD620CA4-4AEE-4B34-A7BA-9B747DEC7CD2}</author>
    <author>tc={1A9A5DF5-5F75-4074-AF9C-903BBA7E9CDE}</author>
    <author>tc={71850A08-E5F5-4072-9561-15535161AF61}</author>
    <author>tc={CB770ECB-C835-4E70-881E-382FA1446F33}</author>
    <author>tc={FB02CBD2-9316-4FD4-AC56-105572A352A4}</author>
    <author>tc={63222A6E-FE3D-4DA9-BEE6-4F5718C950F5}</author>
    <author>tc={5F585CA7-B339-401A-967D-FB3D4CEC149B}</author>
    <author>tc={ACD12C2D-C27C-4DDB-B5D9-5B602AC72088}</author>
    <author>tc={B2D8F1F5-7E09-460D-A6D9-7416F414CC82}</author>
    <author>tc={1D6B8AA6-0AEF-4F68-9702-8FAE0709EA17}</author>
    <author>tc={14B6EB17-F503-4EB3-AEB0-CE38F057D76D}</author>
    <author>tc={E8F6AD73-FA5D-412A-9B02-0C691E0DD266}</author>
    <author>tc={01BA0413-7847-4D2E-B49C-A64F51D91771}</author>
    <author>tc={7AB17822-FBF2-443C-9B5E-DD402170F026}</author>
    <author>tc={8B705A67-3383-4156-97E9-70CB43A66ED7}</author>
  </authors>
  <commentList>
    <comment ref="V2" authorId="0" shapeId="0" xr:uid="{E4EC83B1-5F09-4EFD-8FFA-C463937DC07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 → E=EA A → Ixx,zz@TC=EIxx,zz E → Ixx,zz@SC → J=Ixx+Izz → G=GJ → GA=G·A </t>
      </text>
    </comment>
    <comment ref="AJ2" authorId="1" shapeId="0" xr:uid="{98DACC4C-27D8-40DD-9B92-F61F8782837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Assuming twist angle with traditional sign (so negative around y axis)
Απάντηση:
    Ry(θ) = |  cosθ     sinθ |
              |  - sinθ    cosθ |</t>
      </text>
    </comment>
    <comment ref="CF2" authorId="2" shapeId="0" xr:uid="{0CA022F1-4B52-4AFF-9D6F-AA1B50EFB25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x,z coordinates involved in coupling terms  are expressed wrt to Blade fixed coordinate system
* Calculating properties of twisted cross sections wrt to untwisted coordinate system</t>
      </text>
    </comment>
    <comment ref="AA3" authorId="3" shapeId="0" xr:uid="{EABE4716-81C5-477D-9BEC-418869DFB7B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There are a few errors in the NASA TM describing the HVAB blades (Overmeyer, A. D., Copp, P. A., and Schaeffler, N. W., “Hover Validation and Acoustic Baseline Blade Set Definition,” NASA TM-2020-5002153, May 2020.) a. In Section 4, the shear center, center of gravity, and tension center are reported relative to the blade coordinate system and NOT relative to the local airfoil coordinate system. b. The units of chord inertia on page iv and in Tables 20, 21, 23 and 24 are lbf s^2, not lbf s^2 in^2 or lbf s^2 in. </t>
      </text>
    </comment>
    <comment ref="AH3" authorId="4" shapeId="0" xr:uid="{AB521802-CC3C-4804-B8AF-5C7B667C8FC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Apply rotation of axes in order to correspond to the Reference Blade Coordinate System (REF BLADE COO)?
1 = yes
0 = no
Απάντηση:
    1: yes --&gt; global coo system
0: no --&gt; local coo system</t>
      </text>
    </comment>
    <comment ref="BF3" authorId="5" shapeId="0" xr:uid="{30B9EECB-B8C0-4488-8167-D5903F39A41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Apply rotation of axes in order to correspond to the Reference Blade Coordinate System (REF BLADE COO)?
1 = yes
0 = no
Απάντηση:
    1: yes --&gt; global coo system
0: no --&gt; local coo system</t>
      </text>
    </comment>
    <comment ref="E4" authorId="6" shapeId="0" xr:uid="{0902CB56-B774-4CB8-93F0-03EE603EE0E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ρΑ: 
[kg/m] = 
[ (N*s^2/m) /m ] = [N*s^2/m^2]
</t>
      </text>
    </comment>
    <comment ref="AR4" authorId="7" shapeId="0" xr:uid="{675B9D49-5BA5-4EF5-9BE1-824CA9C74AC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SC : shear center</t>
      </text>
    </comment>
    <comment ref="AU4" authorId="8" shapeId="0" xr:uid="{B54BFD45-B43F-4D20-B3EC-3727FD99AD9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CG: center of gravity</t>
      </text>
    </comment>
    <comment ref="AV4" authorId="9" shapeId="0" xr:uid="{98810EDF-9342-41DA-A5E2-D2E72270556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CG: center of gravity</t>
      </text>
    </comment>
    <comment ref="AW4" authorId="10" shapeId="0" xr:uid="{7A1CDE47-25E0-4B7E-957D-195B51EBA42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CG: center of gravity</t>
      </text>
    </comment>
    <comment ref="AX4" authorId="11" shapeId="0" xr:uid="{2490E9D3-B2CC-46A0-9880-71D93E55D37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TC: tension center</t>
      </text>
    </comment>
    <comment ref="AY4" authorId="12" shapeId="0" xr:uid="{6C29599B-90CF-4201-A857-10CD16E839E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TC: tension center</t>
      </text>
    </comment>
    <comment ref="AZ4" authorId="13" shapeId="0" xr:uid="{7564C0AE-A8AA-4114-8033-DD7D5FF409E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TC: tension center</t>
      </text>
    </comment>
    <comment ref="CF4" authorId="14" shapeId="0" xr:uid="{4D4B6678-4A97-44D9-A990-8C0CD654902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
      </text>
    </comment>
    <comment ref="CK4" authorId="15" shapeId="0" xr:uid="{45DD94FF-306F-41C1-A5BA-6BD763B8CCD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curved length r [m], 
in order to determine the structural properties on the selected blade grid positions</t>
      </text>
    </comment>
    <comment ref="D5" authorId="16" shapeId="0" xr:uid="{BCFEF4EE-F9CB-476F-A4F3-06FAE3EA039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Hinge length is subtracted, to map 0 with h_hige. 
0-root (blade grip)  will later be modeled as rigid part</t>
      </text>
    </comment>
    <comment ref="AR5" authorId="17" shapeId="0" xr:uid="{5AEC1832-750F-487C-A802-E71138B8D8D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Assume that J torsion constant.
No need for Steiner</t>
      </text>
    </comment>
    <comment ref="AU5" authorId="18" shapeId="0" xr:uid="{04324477-1D75-4195-8001-1D14D1391C3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Flap inertia</t>
      </text>
    </comment>
    <comment ref="AV5" authorId="19" shapeId="0" xr:uid="{971D41B4-FDB9-4AAB-96F2-4996762954B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Edge inertia</t>
      </text>
    </comment>
    <comment ref="AX5" authorId="20" shapeId="0" xr:uid="{94750C88-427F-45C3-8F87-0BECE364532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t>
      </text>
    </comment>
    <comment ref="AY5" authorId="21" shapeId="0" xr:uid="{DA00541B-5E2D-47A6-AEB2-BC9566B7EF0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t>
      </text>
    </comment>
    <comment ref="AZ5" authorId="22" shapeId="0" xr:uid="{001B3D60-482E-48F0-A4DF-1D8B74FDC38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EI_xz = + $ E * x * z  dA
</t>
      </text>
    </comment>
    <comment ref="BA5" authorId="23" shapeId="0" xr:uid="{0F1D05A9-3A9A-4B65-AD33-042C584FF65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Tension - flap bending coupling term</t>
      </text>
    </comment>
    <comment ref="BB5" authorId="24" shapeId="0" xr:uid="{CF725CEE-B210-4B06-B588-5B2582F1F70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Tension - edge bending coupling term</t>
      </text>
    </comment>
    <comment ref="BC5" authorId="25" shapeId="0" xr:uid="{DF82F761-754D-4842-A282-1DCF57CC6D1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Shear edge - torsion coupling term</t>
      </text>
    </comment>
    <comment ref="BD5" authorId="26" shapeId="0" xr:uid="{454483D8-EA2E-4FAF-BB55-34B7FFCA614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Shear flap - torsion coupling term</t>
      </text>
    </comment>
    <comment ref="BF5" authorId="27" shapeId="0" xr:uid="{C9A4E03F-FE01-4750-B212-0AB5F607BCA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Blade fixed coo: 
Rotation of axes by (-) twist angle, passive rotation 
* Note:
**positive sign of twist angle around Y axis (right hand rule - Z axis rotates toward X axis)
</t>
      </text>
    </comment>
    <comment ref="BI5" authorId="28" shapeId="0" xr:uid="{8FAC3D2E-595A-4256-885B-C0186D33B4A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curved length of pitch axis 
* NOT span =  projection of curved length on spanwise direction
</t>
      </text>
    </comment>
    <comment ref="BP5" authorId="29" shapeId="0" xr:uid="{E0A13290-45E4-4349-A01F-89D76059FF4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(passive rotation) about Y axis:
Ry = |  c    0   - s   |    
        |  0    1     0   |      s : sinθ
        |  s     0     c   |     c: cosθ
[ I ] =  | Ixx    0    -Ixz |
           |   0     Ip    0   |
           | -Ixz   0    Izz  |
[ I ]’ = Ry * [ I ] * Ry^T</t>
      </text>
    </comment>
    <comment ref="BQ5" authorId="30" shapeId="0" xr:uid="{3349A3DA-C368-4732-85CF-012D7ACEF39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(passive rotation) about Y axis:
Ry = |  c    0   - s   |    
        |  0    1     0   |      s : sinθ
        |  s     0     c   |     c: cosθ
[ I ] =  | Ixx    0    -Ixz |
           |   0     Ip    0   |
           | -Ixz   0    Izz  |
[ I ]’ = Ry * [ I ] * Ry^T
</t>
      </text>
    </comment>
    <comment ref="BR5" authorId="31" shapeId="0" xr:uid="{EC7A8FE4-3464-451A-BF34-721293FBC09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about Y axis:
[ I ]’ = Ry * [ I ] * Ry^T
I_xz = + $ x * z dA
</t>
      </text>
    </comment>
    <comment ref="BT5" authorId="32" shapeId="0" xr:uid="{597BED57-08C5-44CB-A48A-B3AA86E090F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 EAx'  = - EAx * cosθ  -  EAz * sinθ
+ EAx' =  EAx * cosθ  +  EAz * sinθ
Identical result with “Direct method” (see column  GA), 
since same formula</t>
      </text>
    </comment>
    <comment ref="BU5" authorId="33" shapeId="0" xr:uid="{0F5DEA01-A8EB-4CC8-AFCA-D3428879A97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EAz' = - EAx * sinθ  +  EAz * cosθ
Identical result with “Direct method” (see column  GB), 
since same formula</t>
      </text>
    </comment>
    <comment ref="BV5" authorId="34" shapeId="0" xr:uid="{AD620CA4-4AEE-4B34-A7BA-9B747DEC7CD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t>
      </text>
    </comment>
    <comment ref="BW5" authorId="35" shapeId="0" xr:uid="{1A9A5DF5-5F75-4074-AF9C-903BBA7E9CD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t>
      </text>
    </comment>
    <comment ref="BX5" authorId="36" shapeId="0" xr:uid="{71850A08-E5F5-4072-9561-15535161AF6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EI_xz = + $ E * x * z  dA
</t>
      </text>
    </comment>
    <comment ref="BZ5" authorId="37" shapeId="0" xr:uid="{CB770ECB-C835-4E70-881E-382FA1446F3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Derived from stiffness matrix K rotation
Ry = |  c     - s   |     s : sinθ
        |  s        c   |     c: cosθ
[GA] = | GAx     GAxz |
            | GAxz     GAz  |
[GA’] =  Ry *  [GA] * Ry^T
</t>
      </text>
    </comment>
    <comment ref="CA5" authorId="38" shapeId="0" xr:uid="{FB02CBD2-9316-4FD4-AC56-105572A352A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Derived from stiffness matrix K rotation
Ry = |  c     - s   |     s : sinθ
        |  s        c   |     c: cosθ
[GA] = | GAx     GAxz |
            | GAxz     GAz  |
[GA’] =  Ry *  [GA] * Ry^T
</t>
      </text>
    </comment>
    <comment ref="CB5" authorId="39" shapeId="0" xr:uid="{63222A6E-FE3D-4DA9-BEE6-4F5718C950F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GAxX' = GAxX * cosθ  +  GAzZ * sinθ
Similar result with “Direct method” (see column  GC), 
due to differnce in formulas. 
Here both k_x, k_z shear factors are used. 
</t>
      </text>
    </comment>
    <comment ref="CC5" authorId="40" shapeId="0" xr:uid="{5F585CA7-B339-401A-967D-FB3D4CEC149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 GAzZ' = GAxX * sinθ  -  GAzZ * cosθ
+ GAzZ' = - GAxX * sinθ  +  GAzZ * cosθ
Similar result with “Direct method” (see column  GD), 
due to difference in formula.
Here both k_x, k_z shear factors are used. 
</t>
      </text>
    </comment>
    <comment ref="CF5" authorId="41" shapeId="0" xr:uid="{ACD12C2D-C27C-4DDB-B5D9-5B602AC7208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EAx'  = EA * z’ = EA * ( x*sinθ + z *cosθ )
Identical result with Methods 1 and 2</t>
      </text>
    </comment>
    <comment ref="CG5" authorId="42" shapeId="0" xr:uid="{B2D8F1F5-7E09-460D-A6D9-7416F414CC8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EAz'  = EA * x’ = EA * ( x*cosθ - z *sinθ )
Identical result with Methods 1 and 2
</t>
      </text>
    </comment>
    <comment ref="CH5" authorId="43" shapeId="0" xr:uid="{1D6B8AA6-0AEF-4F68-9702-8FAE0709EA17}">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GAxX'  = GAx * z’ = k_x * GA * ( x*sinθ + z *cosθ )
Similar - NOT identical result with Methods 1 and 2, since ONLY shear factor k_x appears in this formula
</t>
      </text>
    </comment>
    <comment ref="CI5" authorId="44" shapeId="0" xr:uid="{14B6EB17-F503-4EB3-AEB0-CE38F057D76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GAzZ'  = GAz * x’ = k_z * GA * ( x*cosθ - z *sinθ) 
Similar - NOT identical result with Methods 1 and 2, since ONLY shear factor k_z appears in this formula</t>
      </text>
    </comment>
    <comment ref="Z27" authorId="45" shapeId="0" xr:uid="{E8F6AD73-FA5D-412A-9B02-0C691E0DD26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X offset due to sweep</t>
      </text>
    </comment>
    <comment ref="AP27" authorId="46" shapeId="0" xr:uid="{01BA0413-7847-4D2E-B49C-A64F51D9177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Fig.2 of NASA-HVAB Set Definition report</t>
      </text>
    </comment>
    <comment ref="Z28" authorId="47" shapeId="0" xr:uid="{7AB17822-FBF2-443C-9B5E-DD402170F02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X offset due to sweep</t>
      </text>
    </comment>
    <comment ref="Z29" authorId="48" shapeId="0" xr:uid="{8B705A67-3383-4156-97E9-70CB43A66ED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X offset due to sweep</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<sst xmlns="http://schemas.openxmlformats.org/spreadsheetml/2006/main" count="603" uniqueCount="311">
  <si>
    <t xml:space="preserve">Details: </t>
  </si>
  <si>
    <t>File Name:</t>
  </si>
  <si>
    <t xml:space="preserve">Structural properties for blade model: standard Timoshenko beam </t>
  </si>
  <si>
    <t xml:space="preserve">Notes: </t>
  </si>
  <si>
    <t>Details:</t>
  </si>
  <si>
    <t>PROCESS</t>
  </si>
  <si>
    <t>DATA</t>
  </si>
  <si>
    <t>RAW</t>
  </si>
  <si>
    <t>EA</t>
  </si>
  <si>
    <t>EAx</t>
  </si>
  <si>
    <t>EIxx</t>
  </si>
  <si>
    <t>LOOKUP</t>
  </si>
  <si>
    <t>pre</t>
  </si>
  <si>
    <t>next</t>
  </si>
  <si>
    <t>twist</t>
  </si>
  <si>
    <t>x_cg_[m]</t>
  </si>
  <si>
    <t>x_sh_[m]</t>
  </si>
  <si>
    <t>x_e_[m]</t>
  </si>
  <si>
    <t>hGAST</t>
  </si>
  <si>
    <t>z_cg_[m]</t>
  </si>
  <si>
    <t>z_sh_[m]</t>
  </si>
  <si>
    <t>z_e_[m]</t>
  </si>
  <si>
    <t>θ_t [rad]</t>
  </si>
  <si>
    <t>θ_t [deg]</t>
  </si>
  <si>
    <t>**num</t>
  </si>
  <si>
    <t>X [swe]</t>
  </si>
  <si>
    <t>Z [ben]</t>
  </si>
  <si>
    <t>x_cg [m]</t>
  </si>
  <si>
    <t>m [kg/m]</t>
  </si>
  <si>
    <t>ρIxx [kg*m]</t>
  </si>
  <si>
    <t>ρIzz [kg*m]</t>
  </si>
  <si>
    <t>ρIxz [kg*m]</t>
  </si>
  <si>
    <t>EA [N]</t>
  </si>
  <si>
    <t>EAz [Nm]</t>
  </si>
  <si>
    <t>Eixx [Nm^2]</t>
  </si>
  <si>
    <t>Eizz [Nm^2]</t>
  </si>
  <si>
    <t>Git [Nm^2]</t>
  </si>
  <si>
    <t>GxA [N]</t>
  </si>
  <si>
    <t>GzA [N]</t>
  </si>
  <si>
    <t>GxAX [Nm]</t>
  </si>
  <si>
    <t>z_cg [m]</t>
  </si>
  <si>
    <t xml:space="preserve">sweep </t>
  </si>
  <si>
    <t>prebend</t>
  </si>
  <si>
    <t>curve</t>
  </si>
  <si>
    <t>R [curv]</t>
  </si>
  <si>
    <t>Y [span]</t>
  </si>
  <si>
    <t>flap</t>
  </si>
  <si>
    <t>edge</t>
  </si>
  <si>
    <t>torsion</t>
  </si>
  <si>
    <t>flap-edge</t>
  </si>
  <si>
    <t>linear mass</t>
  </si>
  <si>
    <t>tension</t>
  </si>
  <si>
    <t>tension - flap</t>
  </si>
  <si>
    <t>tension - edge</t>
  </si>
  <si>
    <t>shear chord</t>
  </si>
  <si>
    <t>shear thickness</t>
  </si>
  <si>
    <t>torsion - shear chord</t>
  </si>
  <si>
    <t>torsion - shear thick</t>
  </si>
  <si>
    <t>diameter</t>
  </si>
  <si>
    <t>processed data to be used as input in machi.inp (in span stations of HAWC2)</t>
  </si>
  <si>
    <t xml:space="preserve"> + EAx [Nm]</t>
  </si>
  <si>
    <t xml:space="preserve"> + Eixz [Nm^2]</t>
  </si>
  <si>
    <t xml:space="preserve"> + GzAZ [Nm]</t>
  </si>
  <si>
    <t>FPM</t>
  </si>
  <si>
    <t>Method 1</t>
  </si>
  <si>
    <t>Y</t>
  </si>
  <si>
    <t>X[swe]</t>
  </si>
  <si>
    <t>m</t>
  </si>
  <si>
    <t>x_cg</t>
  </si>
  <si>
    <t>z_cg</t>
  </si>
  <si>
    <t>ρIzz</t>
  </si>
  <si>
    <t>ρIxz</t>
  </si>
  <si>
    <t>GxA</t>
  </si>
  <si>
    <t>k14</t>
  </si>
  <si>
    <t>k16</t>
  </si>
  <si>
    <t>k23</t>
  </si>
  <si>
    <t>EAz</t>
  </si>
  <si>
    <t>GzA</t>
  </si>
  <si>
    <t>k34</t>
  </si>
  <si>
    <t>k36</t>
  </si>
  <si>
    <t>D</t>
  </si>
  <si>
    <t>k12</t>
  </si>
  <si>
    <t>differences</t>
  </si>
  <si>
    <t>Z [ m ]</t>
  </si>
  <si>
    <t>GAxX</t>
  </si>
  <si>
    <t>GAzZ</t>
  </si>
  <si>
    <t>check</t>
  </si>
  <si>
    <t>m [%]</t>
  </si>
  <si>
    <t>ρΙxx  [%]</t>
  </si>
  <si>
    <t>ρIzz  [%]</t>
  </si>
  <si>
    <t>ρIxz  [%]</t>
  </si>
  <si>
    <t>sweep</t>
  </si>
  <si>
    <t>Bnd_flp</t>
  </si>
  <si>
    <t>Bnd_edg</t>
  </si>
  <si>
    <t>Trs</t>
  </si>
  <si>
    <t>Ten + Bnd_flp</t>
  </si>
  <si>
    <t>Ten + Bnd_edg</t>
  </si>
  <si>
    <t>r/R</t>
  </si>
  <si>
    <t>R</t>
  </si>
  <si>
    <t>Notes:</t>
  </si>
  <si>
    <t>Local Pitch Axis coo</t>
  </si>
  <si>
    <t>Blade fixed pitch axis coo</t>
  </si>
  <si>
    <t>coupling terms</t>
  </si>
  <si>
    <t>Blade Fixed Pitch Axis coo</t>
  </si>
  <si>
    <t>Express in BLADE</t>
  </si>
  <si>
    <t xml:space="preserve"> FIXED COO</t>
  </si>
  <si>
    <t>1=yes /  0=no</t>
  </si>
  <si>
    <t xml:space="preserve">GAx </t>
  </si>
  <si>
    <t>Interpolation</t>
  </si>
  <si>
    <t>iread</t>
  </si>
  <si>
    <t xml:space="preserve"> @ pitch axis --- Blade fixed  coo</t>
  </si>
  <si>
    <t xml:space="preserve">rotate by  - θ_t [deg] </t>
  </si>
  <si>
    <t xml:space="preserve"> - θ_t [rad]</t>
  </si>
  <si>
    <t>Direct method</t>
  </si>
  <si>
    <t xml:space="preserve">iread = </t>
  </si>
  <si>
    <t>format:</t>
  </si>
  <si>
    <t xml:space="preserve">  EAx </t>
  </si>
  <si>
    <t xml:space="preserve">EAz </t>
  </si>
  <si>
    <t>cm_thick</t>
  </si>
  <si>
    <t>cm_chord</t>
  </si>
  <si>
    <t>sh_chord</t>
  </si>
  <si>
    <t>sh_thick</t>
  </si>
  <si>
    <t>e_chord</t>
  </si>
  <si>
    <t>e_thick</t>
  </si>
  <si>
    <t>rA</t>
  </si>
  <si>
    <t>COPY</t>
  </si>
  <si>
    <t>GAz</t>
  </si>
  <si>
    <t>cm_edg</t>
  </si>
  <si>
    <t>cm_flp</t>
  </si>
  <si>
    <t>sh_edg</t>
  </si>
  <si>
    <t>sh_flp</t>
  </si>
  <si>
    <t>e_edg</t>
  </si>
  <si>
    <t>e_flp</t>
  </si>
  <si>
    <t>cg_edge</t>
  </si>
  <si>
    <t>cg_flap</t>
  </si>
  <si>
    <t xml:space="preserve">ρIxx </t>
  </si>
  <si>
    <t xml:space="preserve">ρIxz </t>
  </si>
  <si>
    <t xml:space="preserve">GJ </t>
  </si>
  <si>
    <t xml:space="preserve"> + EIxz </t>
  </si>
  <si>
    <t xml:space="preserve">EIzz </t>
  </si>
  <si>
    <t>length diff in [m]</t>
  </si>
  <si>
    <t>structural diff in [%]</t>
  </si>
  <si>
    <t>GxA [%]</t>
  </si>
  <si>
    <t>GxzA [%]</t>
  </si>
  <si>
    <t>GxAx [%]</t>
  </si>
  <si>
    <t>EA [%]</t>
  </si>
  <si>
    <t xml:space="preserve"> -EAx [%]</t>
  </si>
  <si>
    <t>EAy [%]</t>
  </si>
  <si>
    <t>EAz [%]</t>
  </si>
  <si>
    <t>GzA [%]</t>
  </si>
  <si>
    <t xml:space="preserve"> -GzAz [%]</t>
  </si>
  <si>
    <t>EIxx [%]</t>
  </si>
  <si>
    <t xml:space="preserve"> -EIxy [%]</t>
  </si>
  <si>
    <t xml:space="preserve"> -EIxz [%]</t>
  </si>
  <si>
    <t>GI [%]</t>
  </si>
  <si>
    <t xml:space="preserve"> -EIyz [%]</t>
  </si>
  <si>
    <t>EIzz [%]</t>
  </si>
  <si>
    <t>***</t>
  </si>
  <si>
    <t>Beam</t>
  </si>
  <si>
    <t>Characteristics</t>
  </si>
  <si>
    <t>of</t>
  </si>
  <si>
    <t>Tabs</t>
  </si>
  <si>
    <t>Notes</t>
  </si>
  <si>
    <t>Details</t>
  </si>
  <si>
    <t>output</t>
  </si>
  <si>
    <t>Abbreviations</t>
  </si>
  <si>
    <t>Fully Populated Matrix</t>
  </si>
  <si>
    <t>EXI</t>
  </si>
  <si>
    <t>existing</t>
  </si>
  <si>
    <t>diff</t>
  </si>
  <si>
    <t>to</t>
  </si>
  <si>
    <t>plots, [%] differences</t>
  </si>
  <si>
    <t>MAX DIFF</t>
  </si>
  <si>
    <t>Raw data of noFPM structural models of HVAB</t>
  </si>
  <si>
    <t>SI units convertion</t>
  </si>
  <si>
    <r>
      <rPr>
        <sz val="11"/>
        <color rgb="FF00B050"/>
        <rFont val="Calibri"/>
        <family val="2"/>
        <charset val="161"/>
        <scheme val="minor"/>
      </rPr>
      <t>Process</t>
    </r>
    <r>
      <rPr>
        <sz val="11"/>
        <color theme="1"/>
        <rFont val="Calibri"/>
        <family val="2"/>
        <scheme val="minor"/>
      </rPr>
      <t xml:space="preserve"> noFPM data to use as input in CORAL</t>
    </r>
  </si>
  <si>
    <t>discussion about axes rotation</t>
  </si>
  <si>
    <t>beam.str format</t>
  </si>
  <si>
    <t>beam_frmt</t>
  </si>
  <si>
    <t>frmt</t>
  </si>
  <si>
    <t>format</t>
  </si>
  <si>
    <t>TXT format of beam.str</t>
  </si>
  <si>
    <t>"beam_frmt"</t>
  </si>
  <si>
    <t>EXI_beam</t>
  </si>
  <si>
    <t>Existing beam.str</t>
  </si>
  <si>
    <t>Diploma thesis beam.str</t>
  </si>
  <si>
    <t>EXI_beam_diff</t>
  </si>
  <si>
    <r>
      <t xml:space="preserve">Comparison of </t>
    </r>
    <r>
      <rPr>
        <sz val="11"/>
        <color rgb="FFC00000"/>
        <rFont val="Calibri"/>
        <family val="2"/>
        <charset val="161"/>
        <scheme val="minor"/>
      </rPr>
      <t>"NASA_2_CORAL_noFPM"</t>
    </r>
    <r>
      <rPr>
        <sz val="11"/>
        <color theme="1"/>
        <rFont val="Calibri"/>
        <family val="2"/>
        <scheme val="minor"/>
      </rPr>
      <t xml:space="preserve"> &amp; </t>
    </r>
    <r>
      <rPr>
        <sz val="11"/>
        <color rgb="FFC00000"/>
        <rFont val="Calibri"/>
        <family val="2"/>
        <charset val="161"/>
        <scheme val="minor"/>
      </rPr>
      <t>"EXI_beam"</t>
    </r>
    <r>
      <rPr>
        <sz val="11"/>
        <color theme="1"/>
        <rFont val="Calibri"/>
        <family val="2"/>
        <scheme val="minor"/>
      </rPr>
      <t xml:space="preserve"> models</t>
    </r>
  </si>
  <si>
    <t>GJ@SC</t>
  </si>
  <si>
    <t>η</t>
  </si>
  <si>
    <t>ζ</t>
  </si>
  <si>
    <t>SCζ</t>
  </si>
  <si>
    <t>CGη</t>
  </si>
  <si>
    <t>CGζ</t>
  </si>
  <si>
    <t>in</t>
  </si>
  <si>
    <t>lbf</t>
  </si>
  <si>
    <t>lbf*in^2</t>
  </si>
  <si>
    <t>SCη</t>
  </si>
  <si>
    <t>lbf*s^2</t>
  </si>
  <si>
    <t>EI_f</t>
  </si>
  <si>
    <t>EI_c</t>
  </si>
  <si>
    <t>EI_fc</t>
  </si>
  <si>
    <t>I_f</t>
  </si>
  <si>
    <t>I_c</t>
  </si>
  <si>
    <t>I_fc</t>
  </si>
  <si>
    <t>initialization</t>
  </si>
  <si>
    <t>conversion units</t>
  </si>
  <si>
    <t>in2m</t>
  </si>
  <si>
    <t>[in] to [m]</t>
  </si>
  <si>
    <t>h_hinge</t>
  </si>
  <si>
    <t>lbf2N</t>
  </si>
  <si>
    <t>[lbf] to [N]</t>
  </si>
  <si>
    <t>h_link</t>
  </si>
  <si>
    <t>[in]</t>
  </si>
  <si>
    <t>NASA</t>
  </si>
  <si>
    <t>https://www.aiaa-hpw.org/_files/ugd/0bda64_8380011662e748a2bde4a3ecefe95fd1.pdf</t>
  </si>
  <si>
    <t>Structural properties in SI untis</t>
  </si>
  <si>
    <t>lbf*s^2 / in^2</t>
  </si>
  <si>
    <t>N*s^2/m^2</t>
  </si>
  <si>
    <t>N</t>
  </si>
  <si>
    <t>N*m^2</t>
  </si>
  <si>
    <t>N*s^2</t>
  </si>
  <si>
    <t>[-]</t>
  </si>
  <si>
    <t>[deg]</t>
  </si>
  <si>
    <t>Twist</t>
  </si>
  <si>
    <t>c</t>
  </si>
  <si>
    <t>Sweep</t>
  </si>
  <si>
    <t>DX</t>
  </si>
  <si>
    <t>DY</t>
  </si>
  <si>
    <t>DZ</t>
  </si>
  <si>
    <t>-</t>
  </si>
  <si>
    <t>(deg)</t>
  </si>
  <si>
    <t>(in)</t>
  </si>
  <si>
    <t>$ 9</t>
  </si>
  <si>
    <t>Linaer Blade Twist</t>
  </si>
  <si>
    <t>Geometric properties of blade</t>
  </si>
  <si>
    <t>deg</t>
  </si>
  <si>
    <t>units</t>
  </si>
  <si>
    <t>CORAL</t>
  </si>
  <si>
    <t>quarter chord</t>
  </si>
  <si>
    <t>x_c/4_[m]</t>
  </si>
  <si>
    <t>Express in LOCAL</t>
  </si>
  <si>
    <t xml:space="preserve">  COO</t>
  </si>
  <si>
    <t>GA</t>
  </si>
  <si>
    <t>kx</t>
  </si>
  <si>
    <t>kz</t>
  </si>
  <si>
    <t>Assumptions</t>
  </si>
  <si>
    <t>Poisson ratio</t>
  </si>
  <si>
    <t>Analytical</t>
  </si>
  <si>
    <t xml:space="preserve"> @ SC</t>
  </si>
  <si>
    <t xml:space="preserve"> @ TC</t>
  </si>
  <si>
    <t>no Steiner ?</t>
  </si>
  <si>
    <t>kg*m</t>
  </si>
  <si>
    <t>Shear_edg</t>
  </si>
  <si>
    <t>Shear_flap</t>
  </si>
  <si>
    <t>Bnd_cross</t>
  </si>
  <si>
    <t>in_flp</t>
  </si>
  <si>
    <t>in_edg</t>
  </si>
  <si>
    <t>in_cross</t>
  </si>
  <si>
    <t>Shear_edg + Trs</t>
  </si>
  <si>
    <t>Shear_flp + Trs</t>
  </si>
  <si>
    <t xml:space="preserve"> @ CG</t>
  </si>
  <si>
    <t>Apply</t>
  </si>
  <si>
    <t>Steiner?</t>
  </si>
  <si>
    <t>0: no / 1: yes</t>
  </si>
  <si>
    <t>span</t>
  </si>
  <si>
    <t>noFPM</t>
  </si>
  <si>
    <t>HVAB</t>
  </si>
  <si>
    <t>Main</t>
  </si>
  <si>
    <t>Rotor</t>
  </si>
  <si>
    <t>blade</t>
  </si>
  <si>
    <t>!Iread_str</t>
  </si>
  <si>
    <t>y</t>
  </si>
  <si>
    <t>X</t>
  </si>
  <si>
    <t>Z</t>
  </si>
  <si>
    <t>ρIxx</t>
  </si>
  <si>
    <t>Eixx</t>
  </si>
  <si>
    <t>Eizz</t>
  </si>
  <si>
    <t>Eixz</t>
  </si>
  <si>
    <t>Git</t>
  </si>
  <si>
    <t>GxAX</t>
  </si>
  <si>
    <t>GzAZ</t>
  </si>
  <si>
    <t>RR</t>
  </si>
  <si>
    <t>Diploma</t>
  </si>
  <si>
    <t>beam.str</t>
  </si>
  <si>
    <t>beam</t>
  </si>
  <si>
    <t>Interpolated properties @ user-determined radial (R) stations, to be used as input in beam.str of CORAL</t>
  </si>
  <si>
    <t>$ 29</t>
  </si>
  <si>
    <t>$ 24</t>
  </si>
  <si>
    <t>RR [m]</t>
  </si>
  <si>
    <t>NASA_2_CORAL</t>
  </si>
  <si>
    <r>
      <t xml:space="preserve">used for </t>
    </r>
    <r>
      <rPr>
        <sz val="11"/>
        <color rgb="FFFF0000"/>
        <rFont val="Calibri"/>
        <family val="2"/>
        <charset val="161"/>
        <scheme val="minor"/>
      </rPr>
      <t xml:space="preserve"> </t>
    </r>
    <r>
      <rPr>
        <sz val="11"/>
        <color rgb="FFC00000"/>
        <rFont val="Calibri"/>
        <family val="2"/>
        <charset val="161"/>
        <scheme val="minor"/>
      </rPr>
      <t>"output"</t>
    </r>
  </si>
  <si>
    <t>LOCAL</t>
  </si>
  <si>
    <t xml:space="preserve">POSITIVE  twist angle about y axis </t>
  </si>
  <si>
    <r>
      <rPr>
        <b/>
        <sz val="11"/>
        <color rgb="FFFF0000"/>
        <rFont val="Calibri"/>
        <family val="2"/>
        <charset val="161"/>
        <scheme val="minor"/>
      </rPr>
      <t xml:space="preserve">check AH3   </t>
    </r>
    <r>
      <rPr>
        <b/>
        <sz val="11"/>
        <color theme="1"/>
        <rFont val="Calibri"/>
        <family val="2"/>
        <charset val="161"/>
        <scheme val="minor"/>
      </rPr>
      <t xml:space="preserve">                     1=yes /  0=no</t>
    </r>
  </si>
  <si>
    <t>subtract</t>
  </si>
  <si>
    <t>offset</t>
  </si>
  <si>
    <t>rIxx [kg*m]</t>
  </si>
  <si>
    <t>rIzz [kg*m]</t>
  </si>
  <si>
    <t>rIxz [kg*m]</t>
  </si>
  <si>
    <t xml:space="preserve"> EAx [Nm]</t>
  </si>
  <si>
    <t>EIxx [Nm^2]</t>
  </si>
  <si>
    <t>EIzz [Nm^2]</t>
  </si>
  <si>
    <t xml:space="preserve"> EIxz [Nm^2]</t>
  </si>
  <si>
    <t>GJ [Nm^2]</t>
  </si>
  <si>
    <t xml:space="preserve"> GzAZ [Nm]</t>
  </si>
  <si>
    <t>Approach?  P/A</t>
  </si>
  <si>
    <t>A</t>
  </si>
  <si>
    <t>https://www.aiaa-hpw.org/hvab-rotor</t>
  </si>
  <si>
    <t>https://rotorcraft.arc.nasa.gov/HVAB/HVABReleasedData_v2/General_Information/Data_Use_Recommendations_v2.pdf</t>
  </si>
  <si>
    <t>Blade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</si>
</sst>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E+00"/>
    <numFmt numFmtId="165" formatCode="0.00000E+00"/>
    <numFmt numFmtId="166" formatCode="0.0000"/>
    <numFmt numFmtId="167" formatCode="0.0E+00"/>
    <numFmt numFmtId="168" formatCode="0.00000"/>
    <numFmt numFmtId="169" formatCode="0.000"/>
    <numFmt numFmtId="170" formatCode="0.0000E+00"/>
  </numFmts>
  <fonts count="27">
    <font>
      <sz val="11"/>
      <color theme="1"/>
      <name val="Calibri"/>
      <family val="2"/>
      <scheme val="minor"/>
    </font>
    <font>
      <sz val="11"/>
      <color rgb="FFFF0000"/>
      <name val="Calibri"/>
      <family val="2"/>
      <scheme val="minor"/>
    </font>
    <font>
      <u/>
      <sz val="11"/>
      <color theme="10"/>
      <name val="Calibri"/>
      <family val="2"/>
      <scheme val="minor"/>
    </font>
    <font>
      <b/>
      <sz val="11"/>
      <color theme="1"/>
      <name val="Calibri"/>
      <family val="2"/>
      <charset val="161"/>
      <scheme val="minor"/>
    </font>
    <font>
      <sz val="11"/>
      <color theme="1"/>
      <name val="Calibri"/>
      <family val="2"/>
      <charset val="161"/>
      <scheme val="minor"/>
    </font>
    <font>
      <b/>
      <sz val="16"/>
      <color theme="1"/>
      <name val="Calibri"/>
      <family val="2"/>
      <charset val="161"/>
      <scheme val="minor"/>
    </font>
    <font>
      <sz val="11"/>
      <color rgb="FF00B050"/>
      <name val="Calibri"/>
      <family val="2"/>
      <scheme val="minor"/>
    </font>
    <font>
      <sz val="10"/>
      <name val="Arial"/>
      <family val="2"/>
      <charset val="161"/>
    </font>
    <font>
      <sz val="11"/>
      <color rgb="FF006100"/>
      <name val="Calibri"/>
      <family val="2"/>
      <charset val="161"/>
      <scheme val="minor"/>
    </font>
    <font>
      <b/>
      <sz val="20"/>
      <color theme="1"/>
      <name val="Calibri"/>
      <family val="2"/>
      <charset val="161"/>
      <scheme val="minor"/>
    </font>
    <font>
      <sz val="16"/>
      <color theme="1"/>
      <name val="Calibri"/>
      <family val="2"/>
      <scheme val="minor"/>
    </font>
    <font>
      <sz val="8"/>
      <name val="Calibri"/>
      <family val="2"/>
      <scheme val="minor"/>
    </font>
    <font>
      <b/>
      <sz val="11"/>
      <color rgb="FFFF0000"/>
      <name val="Calibri"/>
      <family val="2"/>
      <charset val="161"/>
      <scheme val="minor"/>
    </font>
    <font>
      <b/>
      <sz val="14"/>
      <color theme="1"/>
      <name val="Calibri"/>
      <family val="2"/>
      <charset val="161"/>
      <scheme val="minor"/>
    </font>
    <font>
      <b/>
      <sz val="11"/>
      <color rgb="FF00B050"/>
      <name val="Calibri"/>
      <family val="2"/>
      <charset val="161"/>
      <scheme val="minor"/>
    </font>
    <font>
      <sz val="11"/>
      <color rgb="FFC00000"/>
      <name val="Calibri"/>
      <family val="2"/>
      <scheme val="minor"/>
    </font>
    <font>
      <sz val="11"/>
      <color rgb="FFC00000"/>
      <name val="Calibri"/>
      <family val="2"/>
      <charset val="161"/>
      <scheme val="minor"/>
    </font>
    <font>
      <sz val="11"/>
      <color rgb="FF00B050"/>
      <name val="Calibri"/>
      <family val="2"/>
      <charset val="161"/>
      <scheme val="minor"/>
    </font>
    <font>
      <sz val="11"/>
      <color theme="0" tint="-0.499984740745262"/>
      <name val="Calibri"/>
      <family val="2"/>
      <scheme val="minor"/>
    </font>
    <font>
      <sz val="11"/>
      <color rgb="FFFF0000"/>
      <name val="Calibri"/>
      <family val="2"/>
      <charset val="161"/>
      <scheme val="minor"/>
    </font>
    <font>
      <sz val="10"/>
      <color rgb="FF6897BB"/>
      <name val="JetBrains Mono"/>
      <family val="3"/>
      <charset val="161"/>
    </font>
    <font>
      <sz val="10"/>
      <color rgb="FF808080"/>
      <name val="JetBrains Mono"/>
      <family val="3"/>
      <charset val="161"/>
    </font>
    <font>
      <sz val="11"/>
      <color theme="2" tint="-0.499984740745262"/>
      <name val="Calibri"/>
      <family val="2"/>
      <scheme val="minor"/>
    </font>
    <font>
      <sz val="11"/>
      <color rgb="FFFFC000"/>
      <name val="Calibri"/>
      <family val="2"/>
      <scheme val="minor"/>
    </font>
    <font>
      <b/>
      <sz val="11"/>
      <color rgb="FFFFC000"/>
      <name val="Calibri"/>
      <family val="2"/>
      <charset val="161"/>
      <scheme val="minor"/>
    </font>
    <font>
      <sz val="11"/>
      <color theme="4" tint="-0.249977111117893"/>
      <name val="Calibri"/>
      <family val="2"/>
      <scheme val="minor"/>
    </font>
    <font>
      <b/>
      <sz val="11"/>
      <color theme="1" tint="4.9989318521683403E-2"/>
      <name val="Calibri"/>
      <family val="2"/>
      <charset val="161"/>
      <scheme val="minor"/>
    </font>
  </fonts>
  <fills count="20">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5"/>
        <bgColor indexed="64"/>
      </patternFill>
    </fill>
    <fill>
      <patternFill patternType="solid">
        <fgColor rgb="FFC6EFCE"/>
      </patternFill>
    </fill>
    <fill>
      <patternFill patternType="solid">
        <fgColor theme="5" tint="0.39997558519241921"/>
        <bgColor indexed="64"/>
      </patternFill>
    </fill>
    <fill>
      <patternFill patternType="solid">
        <fgColor rgb="FF00B050"/>
        <bgColor indexed="64"/>
      </patternFill>
    </fill>
    <fill>
      <patternFill patternType="solid">
        <fgColor theme="8" tint="0.59999389629810485"/>
        <bgColor indexed="64"/>
      </patternFill>
    </fill>
    <fill>
      <patternFill patternType="solid">
        <fgColor theme="7" tint="0.39997558519241921"/>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s>
  <cellStyleXfs count="4">
    <xf numFmtId="0" fontId="0" fillId="0" borderId="0"/>
    <xf numFmtId="0" fontId="2" fillId="0" borderId="0" applyNumberFormat="0" applyFill="0" applyBorder="0" applyAlignment="0" applyProtection="0"/>
    <xf numFmtId="0" fontId="7" fillId="0" borderId="0"/>
    <xf numFmtId="0" fontId="8" fillId="15" borderId="0" applyNumberFormat="0" applyBorder="0" applyAlignment="0" applyProtection="0"/>
  </cellStyleXfs>
  <cellXfs count="313">
    <xf numFmtId="0" fontId="0" fillId="0" borderId="0" xfId="0"/>
    <xf numFmtId="11" fontId="0" fillId="0" borderId="0" xfId="0" applyNumberFormat="1"/>
    <xf numFmtId="0" fontId="0" fillId="0" borderId="4" xfId="0" applyBorder="1"/>
    <xf numFmtId="0" fontId="0" fillId="0" borderId="5" xfId="0" applyBorder="1"/>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xf>
    <xf numFmtId="11" fontId="0" fillId="0" borderId="11" xfId="0" applyNumberFormat="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11" fontId="0" fillId="0" borderId="9" xfId="0" applyNumberFormat="1" applyBorder="1" applyAlignment="1">
      <alignment horizontal="center" vertical="center"/>
    </xf>
    <xf numFmtId="11" fontId="0" fillId="0" borderId="8" xfId="0" applyNumberFormat="1" applyBorder="1" applyAlignment="1">
      <alignment horizontal="center" vertical="center"/>
    </xf>
    <xf numFmtId="0" fontId="0" fillId="0" borderId="15" xfId="0" applyBorder="1"/>
    <xf numFmtId="0" fontId="0" fillId="0" borderId="16" xfId="0" applyBorder="1"/>
    <xf numFmtId="0" fontId="2" fillId="0" borderId="0" xfId="1" applyBorder="1" applyAlignment="1"/>
    <xf numFmtId="11" fontId="0" fillId="0" borderId="17" xfId="0" applyNumberFormat="1" applyBorder="1"/>
    <xf numFmtId="11" fontId="0" fillId="0" borderId="19" xfId="0" applyNumberFormat="1" applyBorder="1"/>
    <xf numFmtId="0" fontId="3" fillId="2" borderId="18" xfId="0" applyFont="1" applyFill="1" applyBorder="1" applyAlignment="1">
      <alignment horizontal="center" vertical="center"/>
    </xf>
    <xf numFmtId="0" fontId="1" fillId="0" borderId="0" xfId="0" applyFont="1" applyAlignment="1">
      <alignment horizontal="center" vertical="center"/>
    </xf>
    <xf numFmtId="0" fontId="1" fillId="0" borderId="16" xfId="0" applyFont="1" applyBorder="1" applyAlignment="1">
      <alignment horizontal="center" vertical="center"/>
    </xf>
    <xf numFmtId="0" fontId="1" fillId="0" borderId="4" xfId="0" applyFont="1" applyBorder="1" applyAlignment="1">
      <alignment horizontal="center" vertical="center"/>
    </xf>
    <xf numFmtId="0" fontId="0" fillId="0" borderId="4" xfId="0" applyBorder="1" applyAlignment="1">
      <alignment horizontal="center" vertical="center"/>
    </xf>
    <xf numFmtId="0" fontId="1" fillId="0" borderId="15" xfId="0" applyFont="1" applyBorder="1" applyAlignment="1">
      <alignment horizontal="center" vertical="center"/>
    </xf>
    <xf numFmtId="11" fontId="0" fillId="0" borderId="14" xfId="0" applyNumberFormat="1" applyBorder="1" applyAlignment="1">
      <alignment horizontal="center" vertical="center"/>
    </xf>
    <xf numFmtId="11" fontId="0" fillId="0" borderId="0" xfId="0" applyNumberFormat="1" applyAlignment="1">
      <alignment horizontal="center" vertical="center"/>
    </xf>
    <xf numFmtId="0" fontId="0" fillId="0" borderId="0" xfId="0" applyAlignment="1">
      <alignment horizontal="left"/>
    </xf>
    <xf numFmtId="0" fontId="0" fillId="0" borderId="5" xfId="0" applyBorder="1" applyAlignment="1">
      <alignment horizontal="center"/>
    </xf>
    <xf numFmtId="11" fontId="0" fillId="0" borderId="16" xfId="0" applyNumberFormat="1" applyBorder="1"/>
    <xf numFmtId="0" fontId="3" fillId="7" borderId="4" xfId="0" applyFont="1" applyFill="1" applyBorder="1"/>
    <xf numFmtId="2" fontId="0" fillId="0" borderId="0" xfId="0" applyNumberFormat="1"/>
    <xf numFmtId="0" fontId="0" fillId="0" borderId="4" xfId="0" applyBorder="1" applyAlignment="1">
      <alignment horizontal="center"/>
    </xf>
    <xf numFmtId="0" fontId="3" fillId="2" borderId="26"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2" fontId="0" fillId="0" borderId="5" xfId="0" applyNumberFormat="1" applyBorder="1" applyAlignment="1">
      <alignment horizontal="left" vertical="center"/>
    </xf>
    <xf numFmtId="167" fontId="0" fillId="0" borderId="5" xfId="0" applyNumberFormat="1" applyBorder="1" applyAlignment="1">
      <alignment horizontal="right" vertical="center"/>
    </xf>
    <xf numFmtId="0" fontId="1" fillId="0" borderId="16" xfId="0" applyFont="1" applyBorder="1" applyAlignment="1">
      <alignment horizontal="left" vertical="top"/>
    </xf>
    <xf numFmtId="167" fontId="0" fillId="0" borderId="6" xfId="0" applyNumberFormat="1" applyBorder="1" applyAlignment="1">
      <alignment horizontal="right" vertical="center"/>
    </xf>
    <xf numFmtId="0" fontId="3" fillId="2" borderId="26" xfId="0" applyFont="1" applyFill="1" applyBorder="1" applyAlignment="1">
      <alignment horizontal="left" vertical="center"/>
    </xf>
    <xf numFmtId="0" fontId="3" fillId="2" borderId="27" xfId="0" applyFont="1" applyFill="1" applyBorder="1" applyAlignment="1">
      <alignment horizontal="right" vertical="center"/>
    </xf>
    <xf numFmtId="0" fontId="3" fillId="2" borderId="18" xfId="0" applyFont="1" applyFill="1" applyBorder="1" applyAlignment="1">
      <alignment horizontal="right" vertical="center"/>
    </xf>
    <xf numFmtId="0" fontId="3" fillId="2" borderId="28" xfId="0" applyFont="1" applyFill="1" applyBorder="1" applyAlignment="1">
      <alignment horizontal="right" vertical="center"/>
    </xf>
    <xf numFmtId="2" fontId="0" fillId="0" borderId="11" xfId="0" applyNumberFormat="1" applyBorder="1" applyAlignment="1">
      <alignment horizontal="center" vertical="center"/>
    </xf>
    <xf numFmtId="0" fontId="0" fillId="0" borderId="20" xfId="0" applyBorder="1" applyAlignment="1">
      <alignment horizontal="center"/>
    </xf>
    <xf numFmtId="165" fontId="0" fillId="0" borderId="0" xfId="0" applyNumberFormat="1"/>
    <xf numFmtId="0" fontId="3" fillId="0" borderId="0" xfId="0" applyFont="1"/>
    <xf numFmtId="0" fontId="0" fillId="0" borderId="5" xfId="0" applyBorder="1" applyAlignment="1">
      <alignment vertical="center"/>
    </xf>
    <xf numFmtId="2" fontId="0" fillId="0" borderId="4" xfId="0" applyNumberFormat="1" applyBorder="1"/>
    <xf numFmtId="2" fontId="0" fillId="0" borderId="15" xfId="0" applyNumberFormat="1" applyBorder="1"/>
    <xf numFmtId="168" fontId="0" fillId="0" borderId="0" xfId="0" applyNumberFormat="1"/>
    <xf numFmtId="0" fontId="3" fillId="2" borderId="18" xfId="0" applyFont="1" applyFill="1" applyBorder="1" applyAlignment="1">
      <alignment horizontal="left" vertical="center"/>
    </xf>
    <xf numFmtId="0" fontId="3" fillId="2" borderId="12" xfId="0" applyFont="1" applyFill="1" applyBorder="1" applyAlignment="1">
      <alignment horizontal="left" vertical="center"/>
    </xf>
    <xf numFmtId="0" fontId="3" fillId="2" borderId="28" xfId="0" applyFont="1" applyFill="1" applyBorder="1" applyAlignment="1">
      <alignment horizontal="left" vertical="center"/>
    </xf>
    <xf numFmtId="0" fontId="1" fillId="0" borderId="4" xfId="0" applyFont="1" applyBorder="1" applyAlignment="1">
      <alignment horizontal="left" vertical="center"/>
    </xf>
    <xf numFmtId="168" fontId="0" fillId="0" borderId="0" xfId="0" applyNumberFormat="1" applyAlignment="1">
      <alignment horizontal="left" vertical="center"/>
    </xf>
    <xf numFmtId="165" fontId="0" fillId="0" borderId="0" xfId="0" applyNumberFormat="1" applyAlignment="1">
      <alignment horizontal="left" vertical="center"/>
    </xf>
    <xf numFmtId="167" fontId="0" fillId="0" borderId="0" xfId="0" applyNumberFormat="1" applyAlignment="1">
      <alignment horizontal="left" vertical="center"/>
    </xf>
    <xf numFmtId="0" fontId="1" fillId="0" borderId="15" xfId="0" applyFont="1" applyBorder="1" applyAlignment="1">
      <alignment horizontal="left" vertical="center"/>
    </xf>
    <xf numFmtId="168" fontId="0" fillId="0" borderId="16" xfId="0" applyNumberFormat="1" applyBorder="1" applyAlignment="1">
      <alignment horizontal="left" vertical="center"/>
    </xf>
    <xf numFmtId="165" fontId="0" fillId="0" borderId="16" xfId="0" applyNumberFormat="1" applyBorder="1" applyAlignment="1">
      <alignment horizontal="left" vertical="center"/>
    </xf>
    <xf numFmtId="167" fontId="0" fillId="0" borderId="16" xfId="0" applyNumberFormat="1" applyBorder="1" applyAlignment="1">
      <alignment horizontal="left" vertical="center"/>
    </xf>
    <xf numFmtId="0" fontId="0" fillId="0" borderId="6" xfId="0" applyBorder="1"/>
    <xf numFmtId="0" fontId="3" fillId="11" borderId="7" xfId="0" applyFont="1" applyFill="1" applyBorder="1"/>
    <xf numFmtId="0" fontId="3" fillId="11" borderId="12" xfId="0" applyFont="1" applyFill="1" applyBorder="1"/>
    <xf numFmtId="0" fontId="3" fillId="11" borderId="13" xfId="0" applyFont="1" applyFill="1" applyBorder="1"/>
    <xf numFmtId="11" fontId="0" fillId="0" borderId="16" xfId="0" applyNumberFormat="1" applyBorder="1" applyAlignment="1">
      <alignment horizontal="center"/>
    </xf>
    <xf numFmtId="2" fontId="0" fillId="0" borderId="10" xfId="0" applyNumberFormat="1" applyBorder="1" applyAlignment="1">
      <alignment horizontal="center" vertical="center"/>
    </xf>
    <xf numFmtId="11" fontId="0" fillId="0" borderId="5" xfId="0" applyNumberFormat="1" applyBorder="1"/>
    <xf numFmtId="11" fontId="0" fillId="0" borderId="6" xfId="0" applyNumberFormat="1" applyBorder="1"/>
    <xf numFmtId="11" fontId="0" fillId="0" borderId="17" xfId="0" applyNumberFormat="1" applyBorder="1" applyAlignment="1">
      <alignment horizontal="right" vertical="top"/>
    </xf>
    <xf numFmtId="11" fontId="0" fillId="0" borderId="16" xfId="0" applyNumberFormat="1" applyBorder="1" applyAlignment="1">
      <alignment horizontal="right" vertical="top"/>
    </xf>
    <xf numFmtId="11" fontId="0" fillId="0" borderId="19" xfId="0" applyNumberFormat="1" applyBorder="1" applyAlignment="1">
      <alignment horizontal="right" vertical="top"/>
    </xf>
    <xf numFmtId="0" fontId="9" fillId="4" borderId="1" xfId="0" applyFont="1" applyFill="1" applyBorder="1" applyAlignment="1">
      <alignment vertical="center"/>
    </xf>
    <xf numFmtId="0" fontId="9" fillId="4" borderId="3" xfId="0" applyFont="1" applyFill="1" applyBorder="1" applyAlignment="1">
      <alignment vertical="center"/>
    </xf>
    <xf numFmtId="0" fontId="10" fillId="4" borderId="15" xfId="0" applyFont="1" applyFill="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2" fontId="0" fillId="0" borderId="6" xfId="0" applyNumberFormat="1" applyBorder="1" applyAlignment="1">
      <alignment horizontal="left" vertical="center"/>
    </xf>
    <xf numFmtId="0" fontId="3" fillId="0" borderId="5" xfId="0" applyFont="1" applyBorder="1"/>
    <xf numFmtId="11" fontId="0" fillId="0" borderId="4" xfId="0" applyNumberFormat="1" applyBorder="1" applyAlignment="1">
      <alignment horizontal="center"/>
    </xf>
    <xf numFmtId="11" fontId="0" fillId="0" borderId="5" xfId="0" applyNumberFormat="1" applyBorder="1" applyAlignment="1">
      <alignment horizontal="center"/>
    </xf>
    <xf numFmtId="11" fontId="0" fillId="0" borderId="15" xfId="0" applyNumberFormat="1" applyBorder="1" applyAlignment="1">
      <alignment horizontal="center"/>
    </xf>
    <xf numFmtId="11" fontId="0" fillId="0" borderId="6" xfId="0" applyNumberFormat="1" applyBorder="1" applyAlignment="1">
      <alignment horizontal="center"/>
    </xf>
    <xf numFmtId="0" fontId="10" fillId="6" borderId="15" xfId="0" applyFont="1" applyFill="1" applyBorder="1" applyAlignment="1">
      <alignment horizontal="center" vertical="center"/>
    </xf>
    <xf numFmtId="11" fontId="6" fillId="0" borderId="16" xfId="0" applyNumberFormat="1" applyFont="1" applyBorder="1"/>
    <xf numFmtId="2" fontId="0" fillId="0" borderId="16" xfId="0" applyNumberFormat="1" applyBorder="1" applyAlignment="1">
      <alignment horizontal="right" vertical="top"/>
    </xf>
    <xf numFmtId="2" fontId="0" fillId="0" borderId="17" xfId="0" applyNumberFormat="1" applyBorder="1" applyAlignment="1">
      <alignment horizontal="right" vertical="top"/>
    </xf>
    <xf numFmtId="2" fontId="0" fillId="0" borderId="19" xfId="0" applyNumberFormat="1" applyBorder="1" applyAlignment="1">
      <alignment horizontal="right" vertical="top"/>
    </xf>
    <xf numFmtId="0" fontId="6" fillId="0" borderId="17" xfId="0" applyFont="1" applyBorder="1" applyAlignment="1">
      <alignment horizontal="left" vertical="top"/>
    </xf>
    <xf numFmtId="11" fontId="6" fillId="0" borderId="17" xfId="0" applyNumberFormat="1" applyFont="1" applyBorder="1" applyAlignment="1">
      <alignment vertical="top"/>
    </xf>
    <xf numFmtId="0" fontId="14" fillId="0" borderId="4" xfId="0" applyFont="1" applyBorder="1" applyAlignment="1">
      <alignment horizontal="left" vertical="top"/>
    </xf>
    <xf numFmtId="11" fontId="6" fillId="0" borderId="5" xfId="0" applyNumberFormat="1" applyFont="1" applyBorder="1" applyAlignment="1">
      <alignment vertical="top"/>
    </xf>
    <xf numFmtId="11" fontId="0" fillId="0" borderId="5" xfId="0" applyNumberFormat="1" applyBorder="1" applyAlignment="1">
      <alignment horizontal="left"/>
    </xf>
    <xf numFmtId="0" fontId="3" fillId="2" borderId="4" xfId="0" applyFont="1" applyFill="1" applyBorder="1" applyAlignment="1">
      <alignment horizontal="center" vertical="center"/>
    </xf>
    <xf numFmtId="0" fontId="13" fillId="0" borderId="0" xfId="0" applyFont="1"/>
    <xf numFmtId="0" fontId="13" fillId="0" borderId="0" xfId="0" applyFont="1" applyAlignment="1">
      <alignment horizontal="center"/>
    </xf>
    <xf numFmtId="0" fontId="5" fillId="0" borderId="0" xfId="0" applyFont="1" applyAlignment="1">
      <alignment horizontal="center"/>
    </xf>
    <xf numFmtId="0" fontId="5" fillId="0" borderId="5" xfId="0" applyFont="1" applyBorder="1" applyAlignment="1">
      <alignment horizontal="center"/>
    </xf>
    <xf numFmtId="0" fontId="3" fillId="11" borderId="7" xfId="0" applyFont="1" applyFill="1" applyBorder="1" applyAlignment="1">
      <alignment horizontal="left"/>
    </xf>
    <xf numFmtId="0" fontId="0" fillId="0" borderId="4" xfId="0" applyBorder="1" applyAlignment="1">
      <alignment horizontal="left"/>
    </xf>
    <xf numFmtId="165" fontId="0" fillId="0" borderId="5" xfId="0" applyNumberFormat="1" applyBorder="1" applyAlignment="1">
      <alignment horizontal="left"/>
    </xf>
    <xf numFmtId="0" fontId="1" fillId="0" borderId="4" xfId="0" applyFont="1" applyBorder="1" applyAlignment="1">
      <alignment horizontal="center"/>
    </xf>
    <xf numFmtId="0" fontId="1" fillId="0" borderId="15" xfId="0" applyFont="1" applyBorder="1" applyAlignment="1">
      <alignment horizontal="center"/>
    </xf>
    <xf numFmtId="0" fontId="5" fillId="0" borderId="0" xfId="0" applyFont="1"/>
    <xf numFmtId="0" fontId="0" fillId="0" borderId="7" xfId="0" applyBorder="1"/>
    <xf numFmtId="0" fontId="3" fillId="13" borderId="7" xfId="0" applyFont="1" applyFill="1" applyBorder="1"/>
    <xf numFmtId="0" fontId="0" fillId="0" borderId="7" xfId="0" applyBorder="1" applyAlignment="1">
      <alignment horizontal="left"/>
    </xf>
    <xf numFmtId="0" fontId="3" fillId="0" borderId="4" xfId="0" applyFont="1" applyBorder="1"/>
    <xf numFmtId="0" fontId="15" fillId="0" borderId="7" xfId="0" applyFont="1" applyBorder="1"/>
    <xf numFmtId="0" fontId="4" fillId="0" borderId="7" xfId="0" applyFont="1" applyBorder="1"/>
    <xf numFmtId="0" fontId="3" fillId="6" borderId="1" xfId="0" applyFont="1" applyFill="1" applyBorder="1" applyAlignment="1">
      <alignment horizontal="center"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18" fillId="0" borderId="0" xfId="0" applyFont="1"/>
    <xf numFmtId="11" fontId="18" fillId="0" borderId="0" xfId="0" applyNumberFormat="1" applyFont="1" applyAlignment="1">
      <alignment horizontal="left"/>
    </xf>
    <xf numFmtId="0" fontId="3" fillId="2" borderId="32" xfId="0" applyFont="1" applyFill="1" applyBorder="1" applyAlignment="1">
      <alignment horizontal="left" vertical="center"/>
    </xf>
    <xf numFmtId="0" fontId="3" fillId="2" borderId="33" xfId="0" applyFont="1" applyFill="1" applyBorder="1" applyAlignment="1">
      <alignment horizontal="left" vertical="center"/>
    </xf>
    <xf numFmtId="0" fontId="3" fillId="2" borderId="34" xfId="0" applyFont="1" applyFill="1" applyBorder="1" applyAlignment="1">
      <alignment horizontal="left" vertical="center"/>
    </xf>
    <xf numFmtId="0" fontId="3" fillId="12" borderId="1" xfId="0" applyFont="1" applyFill="1" applyBorder="1" applyAlignment="1">
      <alignment horizontal="center" vertical="center"/>
    </xf>
    <xf numFmtId="0" fontId="5" fillId="17" borderId="2" xfId="0" applyFont="1" applyFill="1" applyBorder="1" applyAlignment="1">
      <alignment vertical="center"/>
    </xf>
    <xf numFmtId="0" fontId="5" fillId="17" borderId="3" xfId="0" applyFont="1" applyFill="1" applyBorder="1" applyAlignment="1">
      <alignment vertical="center"/>
    </xf>
    <xf numFmtId="0" fontId="3" fillId="11" borderId="12" xfId="0" applyFont="1" applyFill="1" applyBorder="1" applyAlignment="1">
      <alignment horizontal="left"/>
    </xf>
    <xf numFmtId="0" fontId="3" fillId="11" borderId="13" xfId="0" applyFont="1" applyFill="1" applyBorder="1" applyAlignment="1">
      <alignment horizontal="left"/>
    </xf>
    <xf numFmtId="169" fontId="0" fillId="0" borderId="0" xfId="0" applyNumberFormat="1" applyAlignment="1">
      <alignment horizontal="left"/>
    </xf>
    <xf numFmtId="165" fontId="0" fillId="0" borderId="0" xfId="0" applyNumberFormat="1" applyAlignment="1">
      <alignment horizontal="left"/>
    </xf>
    <xf numFmtId="0" fontId="0" fillId="0" borderId="15" xfId="0" applyBorder="1" applyAlignment="1">
      <alignment horizontal="left"/>
    </xf>
    <xf numFmtId="169" fontId="0" fillId="0" borderId="16" xfId="0" applyNumberFormat="1" applyBorder="1" applyAlignment="1">
      <alignment horizontal="left"/>
    </xf>
    <xf numFmtId="165" fontId="0" fillId="0" borderId="16" xfId="0" applyNumberFormat="1" applyBorder="1" applyAlignment="1">
      <alignment horizontal="left"/>
    </xf>
    <xf numFmtId="165" fontId="0" fillId="0" borderId="6" xfId="0" applyNumberFormat="1" applyBorder="1" applyAlignment="1">
      <alignment horizontal="left"/>
    </xf>
    <xf numFmtId="169" fontId="0" fillId="0" borderId="16" xfId="0" applyNumberFormat="1" applyBorder="1"/>
    <xf numFmtId="0" fontId="0" fillId="0" borderId="0" xfId="0" applyAlignment="1">
      <alignment horizontal="left" vertical="center"/>
    </xf>
    <xf numFmtId="0" fontId="20" fillId="0" borderId="0" xfId="0" applyFont="1" applyAlignment="1">
      <alignment horizontal="left" vertical="center"/>
    </xf>
    <xf numFmtId="0" fontId="21" fillId="0" borderId="0" xfId="0" applyFont="1" applyAlignment="1">
      <alignment vertical="center"/>
    </xf>
    <xf numFmtId="0" fontId="20" fillId="0" borderId="0" xfId="0" applyFont="1" applyAlignment="1">
      <alignment horizontal="right" vertical="center"/>
    </xf>
    <xf numFmtId="0" fontId="2" fillId="0" borderId="5" xfId="1" applyBorder="1" applyAlignment="1"/>
    <xf numFmtId="0" fontId="3" fillId="6" borderId="0" xfId="0" applyFont="1" applyFill="1"/>
    <xf numFmtId="0" fontId="4" fillId="0" borderId="4" xfId="0" applyFont="1" applyBorder="1"/>
    <xf numFmtId="0" fontId="4" fillId="0" borderId="0" xfId="0" applyFont="1"/>
    <xf numFmtId="0" fontId="3" fillId="0" borderId="0" xfId="0" applyFont="1" applyAlignment="1">
      <alignment horizontal="left"/>
    </xf>
    <xf numFmtId="2" fontId="6" fillId="0" borderId="16" xfId="0" applyNumberFormat="1" applyFont="1" applyBorder="1"/>
    <xf numFmtId="169" fontId="6" fillId="0" borderId="16" xfId="0" applyNumberFormat="1" applyFont="1" applyBorder="1"/>
    <xf numFmtId="169" fontId="0" fillId="0" borderId="0" xfId="0" applyNumberFormat="1"/>
    <xf numFmtId="168" fontId="0" fillId="0" borderId="4" xfId="0" applyNumberFormat="1" applyBorder="1"/>
    <xf numFmtId="168" fontId="6" fillId="0" borderId="15" xfId="0" applyNumberFormat="1" applyFont="1" applyBorder="1"/>
    <xf numFmtId="11" fontId="6" fillId="0" borderId="0" xfId="0" applyNumberFormat="1" applyFont="1"/>
    <xf numFmtId="2" fontId="6" fillId="0" borderId="0" xfId="0" applyNumberFormat="1" applyFont="1"/>
    <xf numFmtId="169" fontId="6" fillId="0" borderId="0" xfId="0" applyNumberFormat="1" applyFont="1"/>
    <xf numFmtId="168" fontId="17" fillId="0" borderId="4" xfId="0" applyNumberFormat="1" applyFont="1" applyBorder="1" applyAlignment="1">
      <alignment horizontal="right"/>
    </xf>
    <xf numFmtId="168" fontId="0" fillId="0" borderId="0" xfId="0" applyNumberFormat="1" applyAlignment="1">
      <alignment horizontal="right"/>
    </xf>
    <xf numFmtId="0" fontId="1" fillId="0" borderId="16" xfId="0" applyFont="1" applyBorder="1" applyAlignment="1">
      <alignment horizontal="center"/>
    </xf>
    <xf numFmtId="2" fontId="0" fillId="0" borderId="16" xfId="0" applyNumberFormat="1" applyBorder="1"/>
    <xf numFmtId="0" fontId="24" fillId="0" borderId="5" xfId="0" applyFont="1" applyBorder="1"/>
    <xf numFmtId="2" fontId="23" fillId="0" borderId="5" xfId="0" applyNumberFormat="1" applyFont="1" applyBorder="1"/>
    <xf numFmtId="169" fontId="23" fillId="0" borderId="5" xfId="0" applyNumberFormat="1" applyFont="1" applyBorder="1"/>
    <xf numFmtId="169" fontId="23" fillId="0" borderId="6" xfId="0" applyNumberFormat="1" applyFont="1" applyBorder="1"/>
    <xf numFmtId="168" fontId="0" fillId="0" borderId="16" xfId="0" applyNumberFormat="1" applyBorder="1"/>
    <xf numFmtId="11" fontId="0" fillId="0" borderId="22" xfId="0" applyNumberFormat="1" applyBorder="1"/>
    <xf numFmtId="11" fontId="0" fillId="0" borderId="23" xfId="0" applyNumberFormat="1" applyBorder="1"/>
    <xf numFmtId="0" fontId="4" fillId="0" borderId="5" xfId="0" applyFont="1" applyBorder="1"/>
    <xf numFmtId="11" fontId="25" fillId="0" borderId="4" xfId="0" applyNumberFormat="1" applyFont="1" applyBorder="1" applyAlignment="1">
      <alignment horizontal="center" vertical="center"/>
    </xf>
    <xf numFmtId="0" fontId="25" fillId="0" borderId="5" xfId="0" applyFont="1" applyBorder="1" applyAlignment="1">
      <alignment horizontal="center" vertical="center"/>
    </xf>
    <xf numFmtId="11" fontId="25" fillId="0" borderId="15" xfId="0" applyNumberFormat="1" applyFont="1" applyBorder="1" applyAlignment="1">
      <alignment horizontal="center" vertical="center"/>
    </xf>
    <xf numFmtId="11" fontId="0" fillId="0" borderId="25" xfId="0" applyNumberFormat="1" applyBorder="1"/>
    <xf numFmtId="11" fontId="0" fillId="0" borderId="35" xfId="0" applyNumberFormat="1" applyBorder="1"/>
    <xf numFmtId="11" fontId="0" fillId="0" borderId="31" xfId="0" applyNumberFormat="1" applyBorder="1" applyAlignment="1">
      <alignment horizontal="right" vertical="top"/>
    </xf>
    <xf numFmtId="11" fontId="25" fillId="0" borderId="16" xfId="0" applyNumberFormat="1" applyFont="1" applyBorder="1" applyAlignment="1">
      <alignment horizontal="center" vertical="center"/>
    </xf>
    <xf numFmtId="0" fontId="26" fillId="0" borderId="4" xfId="1" applyFont="1" applyBorder="1" applyAlignment="1">
      <alignment horizontal="center" vertical="center"/>
    </xf>
    <xf numFmtId="11" fontId="0" fillId="0" borderId="29" xfId="0" applyNumberFormat="1" applyBorder="1" applyAlignment="1">
      <alignment horizontal="left"/>
    </xf>
    <xf numFmtId="164" fontId="0" fillId="0" borderId="4" xfId="0" applyNumberFormat="1" applyBorder="1"/>
    <xf numFmtId="164" fontId="0" fillId="0" borderId="36" xfId="0" applyNumberFormat="1" applyBorder="1"/>
    <xf numFmtId="164" fontId="0" fillId="0" borderId="15" xfId="0" applyNumberFormat="1" applyBorder="1"/>
    <xf numFmtId="0" fontId="0" fillId="0" borderId="22" xfId="0" applyBorder="1" applyAlignment="1">
      <alignment horizontal="center"/>
    </xf>
    <xf numFmtId="0" fontId="0" fillId="0" borderId="0" xfId="0" applyAlignment="1">
      <alignment horizontal="center"/>
    </xf>
    <xf numFmtId="0" fontId="0" fillId="0" borderId="17" xfId="0" applyBorder="1" applyAlignment="1">
      <alignment horizontal="center"/>
    </xf>
    <xf numFmtId="11" fontId="0" fillId="0" borderId="31" xfId="0" applyNumberFormat="1" applyBorder="1"/>
    <xf numFmtId="0" fontId="3" fillId="7" borderId="0" xfId="0" applyFont="1" applyFill="1"/>
    <xf numFmtId="0" fontId="5" fillId="4" borderId="37" xfId="0" applyFont="1" applyFill="1" applyBorder="1" applyAlignment="1">
      <alignment horizontal="center" vertical="center"/>
    </xf>
    <xf numFmtId="0" fontId="5" fillId="4" borderId="38" xfId="0" applyFont="1" applyFill="1" applyBorder="1" applyAlignment="1">
      <alignment horizontal="center" vertical="center"/>
    </xf>
    <xf numFmtId="0" fontId="0" fillId="0" borderId="38" xfId="0" applyBorder="1"/>
    <xf numFmtId="0" fontId="0" fillId="0" borderId="39" xfId="0" applyBorder="1"/>
    <xf numFmtId="11" fontId="0" fillId="0" borderId="0" xfId="0" applyNumberFormat="1" applyAlignment="1">
      <alignment horizontal="right" vertical="top"/>
    </xf>
    <xf numFmtId="11" fontId="6" fillId="0" borderId="4" xfId="0" applyNumberFormat="1" applyFont="1" applyBorder="1" applyAlignment="1">
      <alignment vertical="top"/>
    </xf>
    <xf numFmtId="11" fontId="0" fillId="0" borderId="5" xfId="0" applyNumberFormat="1" applyBorder="1" applyAlignment="1">
      <alignment horizontal="left" vertical="top"/>
    </xf>
    <xf numFmtId="11" fontId="0" fillId="0" borderId="4" xfId="0" applyNumberFormat="1" applyBorder="1" applyAlignment="1">
      <alignment horizontal="right" vertical="top"/>
    </xf>
    <xf numFmtId="11" fontId="0" fillId="0" borderId="15" xfId="0" applyNumberFormat="1" applyBorder="1" applyAlignment="1">
      <alignment horizontal="right" vertical="top"/>
    </xf>
    <xf numFmtId="2" fontId="0" fillId="9" borderId="4" xfId="0" applyNumberForma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left" vertical="top"/>
    </xf>
    <xf numFmtId="2" fontId="0" fillId="0" borderId="0" xfId="0" applyNumberFormat="1" applyAlignment="1">
      <alignment horizontal="right" vertical="top"/>
    </xf>
    <xf numFmtId="2" fontId="0" fillId="9" borderId="15" xfId="0" applyNumberFormat="1" applyFill="1" applyBorder="1" applyAlignment="1">
      <alignment horizontal="center" vertical="center"/>
    </xf>
    <xf numFmtId="0" fontId="3" fillId="2" borderId="27" xfId="0" applyFont="1" applyFill="1" applyBorder="1" applyAlignment="1">
      <alignment horizontal="left" vertical="center"/>
    </xf>
    <xf numFmtId="166" fontId="0" fillId="0" borderId="0" xfId="0" applyNumberFormat="1" applyAlignment="1">
      <alignment horizontal="right" vertical="top"/>
    </xf>
    <xf numFmtId="166" fontId="0" fillId="0" borderId="16" xfId="0" applyNumberFormat="1" applyBorder="1" applyAlignment="1">
      <alignment horizontal="right" vertical="top"/>
    </xf>
    <xf numFmtId="0" fontId="6" fillId="0" borderId="0" xfId="0" applyFont="1"/>
    <xf numFmtId="168" fontId="6" fillId="0" borderId="4" xfId="0" applyNumberFormat="1" applyFont="1" applyBorder="1"/>
    <xf numFmtId="0" fontId="3" fillId="12" borderId="0" xfId="0" applyFont="1" applyFill="1" applyAlignment="1">
      <alignment horizontal="center" vertical="center"/>
    </xf>
    <xf numFmtId="0" fontId="22" fillId="0" borderId="0" xfId="0" applyFont="1"/>
    <xf numFmtId="168" fontId="0" fillId="0" borderId="0" xfId="0" applyNumberFormat="1" applyAlignment="1">
      <alignment horizontal="right" vertical="top"/>
    </xf>
    <xf numFmtId="168" fontId="0" fillId="0" borderId="16" xfId="0" applyNumberFormat="1" applyBorder="1" applyAlignment="1">
      <alignment horizontal="right" vertical="top"/>
    </xf>
    <xf numFmtId="11" fontId="6" fillId="0" borderId="5" xfId="0" applyNumberFormat="1" applyFont="1" applyBorder="1"/>
    <xf numFmtId="0" fontId="0" fillId="6" borderId="16" xfId="0" applyFill="1" applyBorder="1"/>
    <xf numFmtId="11" fontId="0" fillId="0" borderId="16" xfId="0" applyNumberFormat="1" applyBorder="1" applyAlignment="1">
      <alignment horizontal="right" vertical="center"/>
    </xf>
    <xf numFmtId="11" fontId="0" fillId="0" borderId="5" xfId="0" applyNumberFormat="1" applyBorder="1" applyAlignment="1">
      <alignment horizontal="right" vertical="center"/>
    </xf>
    <xf numFmtId="11" fontId="0" fillId="0" borderId="6" xfId="0" applyNumberFormat="1" applyBorder="1" applyAlignment="1">
      <alignment horizontal="right" vertical="center"/>
    </xf>
    <xf numFmtId="0" fontId="3" fillId="2" borderId="40" xfId="0" applyFont="1" applyFill="1" applyBorder="1" applyAlignment="1">
      <alignment horizontal="left" vertical="center"/>
    </xf>
    <xf numFmtId="165" fontId="0" fillId="0" borderId="5" xfId="0" applyNumberFormat="1" applyBorder="1" applyAlignment="1">
      <alignment horizontal="left" vertical="center"/>
    </xf>
    <xf numFmtId="165" fontId="0" fillId="0" borderId="6" xfId="0" applyNumberFormat="1" applyBorder="1" applyAlignment="1">
      <alignment horizontal="left" vertical="center"/>
    </xf>
    <xf numFmtId="0" fontId="0" fillId="6" borderId="0" xfId="0" applyFill="1"/>
    <xf numFmtId="11" fontId="6" fillId="0" borderId="0" xfId="0" applyNumberFormat="1" applyFont="1" applyAlignment="1">
      <alignment horizontal="right" vertical="center"/>
    </xf>
    <xf numFmtId="11" fontId="6" fillId="0" borderId="0" xfId="0" applyNumberFormat="1" applyFont="1" applyAlignment="1">
      <alignment horizontal="right"/>
    </xf>
    <xf numFmtId="11" fontId="0" fillId="0" borderId="0" xfId="0" applyNumberFormat="1" applyAlignment="1">
      <alignment horizontal="right" vertical="center"/>
    </xf>
    <xf numFmtId="11" fontId="0" fillId="0" borderId="0" xfId="0" applyNumberFormat="1" applyAlignment="1">
      <alignment horizontal="center"/>
    </xf>
    <xf numFmtId="2" fontId="0" fillId="0" borderId="42" xfId="0" applyNumberFormat="1" applyBorder="1" applyAlignment="1">
      <alignment horizontal="center" vertical="center"/>
    </xf>
    <xf numFmtId="0" fontId="3" fillId="0" borderId="38" xfId="0" applyFont="1" applyBorder="1" applyAlignment="1">
      <alignment horizontal="center" vertical="center"/>
    </xf>
    <xf numFmtId="2" fontId="0" fillId="0" borderId="25" xfId="0" applyNumberFormat="1" applyBorder="1" applyAlignment="1">
      <alignment horizontal="center" vertical="center"/>
    </xf>
    <xf numFmtId="2" fontId="0" fillId="0" borderId="22" xfId="0" applyNumberFormat="1" applyBorder="1" applyAlignment="1">
      <alignment horizontal="center" vertical="center"/>
    </xf>
    <xf numFmtId="2" fontId="0" fillId="0" borderId="23" xfId="0" applyNumberFormat="1" applyBorder="1" applyAlignment="1">
      <alignment horizontal="center" vertical="center"/>
    </xf>
    <xf numFmtId="11" fontId="0" fillId="19" borderId="31" xfId="0" applyNumberFormat="1" applyFill="1" applyBorder="1" applyAlignment="1">
      <alignment horizontal="center" vertical="center"/>
    </xf>
    <xf numFmtId="11" fontId="0" fillId="19" borderId="17" xfId="0" applyNumberFormat="1" applyFill="1" applyBorder="1" applyAlignment="1">
      <alignment horizontal="center" vertical="center"/>
    </xf>
    <xf numFmtId="11" fontId="0" fillId="19" borderId="44" xfId="0" applyNumberFormat="1" applyFill="1" applyBorder="1" applyAlignment="1">
      <alignment horizontal="center" vertical="center"/>
    </xf>
    <xf numFmtId="11" fontId="0" fillId="19" borderId="5" xfId="0" applyNumberFormat="1" applyFill="1" applyBorder="1" applyAlignment="1">
      <alignment horizontal="center" vertical="center"/>
    </xf>
    <xf numFmtId="11" fontId="0" fillId="19" borderId="6" xfId="0" applyNumberFormat="1" applyFill="1" applyBorder="1" applyAlignment="1">
      <alignment horizontal="center" vertical="center"/>
    </xf>
    <xf numFmtId="11" fontId="0" fillId="19" borderId="42" xfId="0" applyNumberFormat="1" applyFill="1" applyBorder="1" applyAlignment="1">
      <alignment horizontal="center" vertical="center"/>
    </xf>
    <xf numFmtId="11" fontId="0" fillId="19" borderId="11" xfId="0" applyNumberFormat="1" applyFill="1" applyBorder="1" applyAlignment="1">
      <alignment horizontal="center" vertical="center"/>
    </xf>
    <xf numFmtId="11" fontId="0" fillId="19" borderId="10" xfId="0" applyNumberFormat="1" applyFill="1" applyBorder="1" applyAlignment="1">
      <alignment horizontal="center" vertical="center"/>
    </xf>
    <xf numFmtId="11" fontId="0" fillId="19" borderId="19" xfId="0" applyNumberFormat="1" applyFill="1" applyBorder="1" applyAlignment="1">
      <alignment horizontal="center" vertical="center"/>
    </xf>
    <xf numFmtId="0" fontId="0" fillId="19" borderId="41" xfId="0" applyFill="1" applyBorder="1"/>
    <xf numFmtId="0" fontId="0" fillId="19" borderId="45" xfId="0" applyFill="1" applyBorder="1"/>
    <xf numFmtId="0" fontId="0" fillId="19" borderId="43" xfId="0" applyFill="1" applyBorder="1"/>
    <xf numFmtId="0" fontId="0" fillId="0" borderId="0" xfId="0" applyAlignment="1">
      <alignment horizontal="right"/>
    </xf>
    <xf numFmtId="0" fontId="1" fillId="0" borderId="0" xfId="0" applyFont="1" applyAlignment="1">
      <alignment horizontal="center"/>
    </xf>
    <xf numFmtId="166" fontId="6" fillId="0" borderId="0" xfId="0" applyNumberFormat="1" applyFont="1"/>
    <xf numFmtId="166" fontId="0" fillId="0" borderId="16" xfId="0" applyNumberFormat="1" applyBorder="1" applyAlignment="1">
      <alignment horizontal="right" vertical="center"/>
    </xf>
    <xf numFmtId="164" fontId="0" fillId="0" borderId="0" xfId="0" applyNumberFormat="1" applyAlignment="1">
      <alignment horizontal="left" vertical="center"/>
    </xf>
    <xf numFmtId="164" fontId="0" fillId="0" borderId="0" xfId="0" applyNumberFormat="1"/>
    <xf numFmtId="170" fontId="0" fillId="0" borderId="0" xfId="0" applyNumberFormat="1" applyAlignment="1">
      <alignment horizontal="left" vertical="center"/>
    </xf>
    <xf numFmtId="170" fontId="0" fillId="0" borderId="0" xfId="0" applyNumberFormat="1"/>
    <xf numFmtId="166" fontId="0" fillId="6" borderId="16" xfId="0" applyNumberFormat="1" applyFill="1" applyBorder="1"/>
    <xf numFmtId="0" fontId="13" fillId="0" borderId="0" xfId="0" applyFont="1" applyAlignment="1">
      <alignment vertical="center"/>
    </xf>
    <xf numFmtId="0" fontId="13" fillId="0" borderId="0" xfId="0" applyFont="1" applyAlignment="1">
      <alignment horizontal="left" vertical="center"/>
    </xf>
    <xf numFmtId="0" fontId="1" fillId="8" borderId="0" xfId="0" applyFont="1" applyFill="1" applyAlignment="1">
      <alignment horizontal="center" vertical="center"/>
    </xf>
    <xf numFmtId="0" fontId="3" fillId="6" borderId="0" xfId="0" applyFont="1" applyFill="1" applyAlignment="1">
      <alignment horizontal="center" vertical="center"/>
    </xf>
    <xf numFmtId="166" fontId="6" fillId="0" borderId="0" xfId="0" applyNumberFormat="1" applyFont="1" applyAlignment="1">
      <alignment horizontal="right" vertical="center"/>
    </xf>
    <xf numFmtId="166" fontId="0" fillId="0" borderId="0" xfId="0" applyNumberFormat="1" applyAlignment="1">
      <alignment horizontal="right" vertical="center"/>
    </xf>
    <xf numFmtId="166" fontId="0" fillId="4" borderId="0" xfId="0" applyNumberFormat="1" applyFill="1" applyAlignment="1">
      <alignment horizontal="right" vertical="center"/>
    </xf>
    <xf numFmtId="166" fontId="0" fillId="4" borderId="16" xfId="0" applyNumberFormat="1" applyFill="1" applyBorder="1" applyAlignment="1">
      <alignment horizontal="right" vertical="center"/>
    </xf>
    <xf numFmtId="11" fontId="25" fillId="0" borderId="0" xfId="0" applyNumberFormat="1" applyFont="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5" fillId="0" borderId="6" xfId="0" applyFont="1" applyBorder="1" applyAlignment="1">
      <alignment horizontal="center" vertical="center"/>
    </xf>
    <xf numFmtId="0" fontId="3" fillId="2" borderId="20" xfId="0" applyFont="1" applyFill="1" applyBorder="1" applyAlignment="1">
      <alignment horizontal="center" vertical="center"/>
    </xf>
    <xf numFmtId="0" fontId="3" fillId="4" borderId="37" xfId="0" applyFont="1" applyFill="1" applyBorder="1"/>
    <xf numFmtId="0" fontId="3" fillId="4" borderId="39" xfId="0" applyFont="1" applyFill="1" applyBorder="1" applyAlignment="1">
      <alignment horizontal="center"/>
    </xf>
    <xf numFmtId="0" fontId="9" fillId="4" borderId="0" xfId="0" applyFont="1" applyFill="1" applyAlignment="1">
      <alignment horizontal="right" vertical="center"/>
    </xf>
    <xf numFmtId="0" fontId="9" fillId="4" borderId="0" xfId="0" applyFont="1" applyFill="1" applyAlignment="1">
      <alignment horizontal="left" vertical="center"/>
    </xf>
    <xf numFmtId="0" fontId="6" fillId="0" borderId="0" xfId="0" applyFont="1" applyAlignment="1">
      <alignment horizontal="left" vertical="top"/>
    </xf>
    <xf numFmtId="11" fontId="6" fillId="0" borderId="0" xfId="0" applyNumberFormat="1" applyFont="1" applyAlignment="1">
      <alignment vertical="top"/>
    </xf>
    <xf numFmtId="11" fontId="0" fillId="0" borderId="0" xfId="0" applyNumberFormat="1" applyAlignment="1">
      <alignment horizontal="left" vertical="center"/>
    </xf>
    <xf numFmtId="11" fontId="0" fillId="0" borderId="0" xfId="0" applyNumberFormat="1" applyAlignment="1">
      <alignment horizontal="left" vertical="top"/>
    </xf>
    <xf numFmtId="11" fontId="0" fillId="0" borderId="0" xfId="0" applyNumberFormat="1" applyAlignment="1">
      <alignment horizontal="left"/>
    </xf>
    <xf numFmtId="0" fontId="3" fillId="7" borderId="7" xfId="0" applyFont="1" applyFill="1" applyBorder="1"/>
    <xf numFmtId="0" fontId="3" fillId="10" borderId="1" xfId="0" applyFont="1" applyFill="1" applyBorder="1" applyAlignment="1">
      <alignment horizontal="center"/>
    </xf>
    <xf numFmtId="0" fontId="3" fillId="10" borderId="2" xfId="0" applyFont="1" applyFill="1" applyBorder="1" applyAlignment="1">
      <alignment horizontal="center"/>
    </xf>
    <xf numFmtId="0" fontId="3" fillId="10" borderId="3" xfId="0" applyFont="1" applyFill="1" applyBorder="1" applyAlignment="1">
      <alignment horizontal="center"/>
    </xf>
    <xf numFmtId="0" fontId="3" fillId="6" borderId="1" xfId="0" applyFont="1" applyFill="1" applyBorder="1" applyAlignment="1">
      <alignment horizontal="center"/>
    </xf>
    <xf numFmtId="0" fontId="3" fillId="6" borderId="2" xfId="0" applyFont="1" applyFill="1" applyBorder="1" applyAlignment="1">
      <alignment horizontal="center"/>
    </xf>
    <xf numFmtId="0" fontId="3" fillId="6" borderId="3" xfId="0" applyFont="1" applyFill="1" applyBorder="1" applyAlignment="1">
      <alignment horizontal="center"/>
    </xf>
    <xf numFmtId="0" fontId="3" fillId="12" borderId="1" xfId="0" applyFont="1" applyFill="1" applyBorder="1" applyAlignment="1">
      <alignment horizontal="center"/>
    </xf>
    <xf numFmtId="0" fontId="3" fillId="12" borderId="2" xfId="0" applyFont="1" applyFill="1" applyBorder="1" applyAlignment="1">
      <alignment horizontal="center"/>
    </xf>
    <xf numFmtId="0" fontId="3" fillId="12" borderId="3" xfId="0" applyFont="1" applyFill="1" applyBorder="1" applyAlignment="1">
      <alignment horizontal="center"/>
    </xf>
    <xf numFmtId="0" fontId="13" fillId="0" borderId="0" xfId="0" applyFont="1" applyAlignment="1">
      <alignment horizontal="left"/>
    </xf>
    <xf numFmtId="0" fontId="0" fillId="0" borderId="0" xfId="0" applyAlignment="1">
      <alignment horizontal="left" vertical="center"/>
    </xf>
    <xf numFmtId="0" fontId="3" fillId="10" borderId="0" xfId="0" applyFont="1" applyFill="1" applyAlignment="1">
      <alignment horizontal="center" vertical="center"/>
    </xf>
    <xf numFmtId="0" fontId="3" fillId="0" borderId="0" xfId="0" applyFont="1" applyAlignment="1">
      <alignment horizontal="center" vertic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1" xfId="0" applyFont="1" applyFill="1" applyBorder="1" applyAlignment="1">
      <alignment horizontal="center"/>
    </xf>
    <xf numFmtId="0" fontId="3" fillId="5" borderId="2" xfId="0" applyFont="1" applyFill="1" applyBorder="1" applyAlignment="1">
      <alignment horizontal="center"/>
    </xf>
    <xf numFmtId="0" fontId="3" fillId="5" borderId="3" xfId="0" applyFont="1" applyFill="1" applyBorder="1" applyAlignment="1">
      <alignment horizontal="center"/>
    </xf>
    <xf numFmtId="0" fontId="0" fillId="4" borderId="0" xfId="0" applyFill="1" applyAlignment="1">
      <alignment horizontal="center"/>
    </xf>
    <xf numFmtId="0" fontId="0" fillId="4" borderId="5" xfId="0" applyFill="1" applyBorder="1" applyAlignment="1">
      <alignment horizont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 fillId="0" borderId="0" xfId="1" applyBorder="1" applyAlignment="1">
      <alignment horizontal="left"/>
    </xf>
    <xf numFmtId="0" fontId="2" fillId="0" borderId="5" xfId="1" applyBorder="1" applyAlignment="1">
      <alignment horizontal="left"/>
    </xf>
    <xf numFmtId="0" fontId="3" fillId="16" borderId="24" xfId="0" applyFont="1" applyFill="1" applyBorder="1" applyAlignment="1">
      <alignment horizontal="center" vertical="center"/>
    </xf>
    <xf numFmtId="0" fontId="3" fillId="16" borderId="27" xfId="0" applyFont="1" applyFill="1" applyBorder="1" applyAlignment="1">
      <alignment horizontal="center" vertical="center"/>
    </xf>
    <xf numFmtId="0" fontId="3" fillId="16" borderId="18" xfId="0" applyFont="1" applyFill="1" applyBorder="1" applyAlignment="1">
      <alignment horizontal="center" vertical="center"/>
    </xf>
    <xf numFmtId="0" fontId="26" fillId="0" borderId="0" xfId="1" applyFont="1" applyBorder="1" applyAlignment="1">
      <alignment horizontal="center" vertical="center"/>
    </xf>
    <xf numFmtId="0" fontId="3" fillId="16" borderId="20" xfId="0" applyFont="1" applyFill="1" applyBorder="1" applyAlignment="1">
      <alignment horizontal="center" vertical="center"/>
    </xf>
    <xf numFmtId="0" fontId="3" fillId="16" borderId="21" xfId="0" applyFont="1" applyFill="1" applyBorder="1" applyAlignment="1">
      <alignment horizontal="center" vertical="center"/>
    </xf>
    <xf numFmtId="0" fontId="2" fillId="0" borderId="7" xfId="1" applyBorder="1" applyAlignment="1">
      <alignment horizontal="center"/>
    </xf>
    <xf numFmtId="0" fontId="4" fillId="0" borderId="30" xfId="0" applyFont="1" applyBorder="1" applyAlignment="1">
      <alignment horizontal="center"/>
    </xf>
    <xf numFmtId="0" fontId="4" fillId="0" borderId="20" xfId="0" applyFont="1" applyBorder="1" applyAlignment="1">
      <alignment horizontal="center"/>
    </xf>
    <xf numFmtId="0" fontId="4" fillId="0" borderId="21" xfId="0" applyFont="1" applyBorder="1" applyAlignment="1">
      <alignment horizontal="center"/>
    </xf>
    <xf numFmtId="0" fontId="3" fillId="7" borderId="0" xfId="0" applyFont="1" applyFill="1" applyAlignment="1">
      <alignment horizontal="center"/>
    </xf>
    <xf numFmtId="0" fontId="3" fillId="12" borderId="0" xfId="0" applyFont="1" applyFill="1" applyAlignment="1">
      <alignment horizontal="center" vertical="center"/>
    </xf>
    <xf numFmtId="0" fontId="4" fillId="9" borderId="4" xfId="0" applyFont="1" applyFill="1" applyBorder="1" applyAlignment="1">
      <alignment horizontal="center" vertical="center"/>
    </xf>
    <xf numFmtId="0" fontId="4" fillId="9" borderId="0" xfId="0" applyFont="1" applyFill="1" applyAlignment="1">
      <alignment horizontal="center" vertical="center"/>
    </xf>
    <xf numFmtId="0" fontId="4" fillId="9" borderId="5" xfId="0" applyFont="1" applyFill="1" applyBorder="1" applyAlignment="1">
      <alignment horizontal="center" vertical="center"/>
    </xf>
    <xf numFmtId="0" fontId="3" fillId="18" borderId="7" xfId="0" applyFont="1" applyFill="1" applyBorder="1" applyAlignment="1">
      <alignment horizontal="left"/>
    </xf>
    <xf numFmtId="0" fontId="0" fillId="0" borderId="0" xfId="0" applyAlignment="1">
      <alignment horizontal="left"/>
    </xf>
    <xf numFmtId="0" fontId="0" fillId="0" borderId="5" xfId="0" applyBorder="1" applyAlignment="1">
      <alignment horizontal="left"/>
    </xf>
    <xf numFmtId="0" fontId="2" fillId="0" borderId="0" xfId="1" applyBorder="1" applyAlignment="1">
      <alignment horizontal="center"/>
    </xf>
    <xf numFmtId="0" fontId="2" fillId="0" borderId="5" xfId="1" applyBorder="1" applyAlignment="1">
      <alignment horizontal="center"/>
    </xf>
    <xf numFmtId="0" fontId="3" fillId="0" borderId="20" xfId="0" applyFont="1" applyBorder="1" applyAlignment="1">
      <alignment horizontal="left"/>
    </xf>
    <xf numFmtId="0" fontId="5" fillId="14" borderId="1" xfId="0" applyFont="1" applyFill="1" applyBorder="1" applyAlignment="1">
      <alignment horizontal="center"/>
    </xf>
    <xf numFmtId="0" fontId="5" fillId="14" borderId="2" xfId="0" applyFont="1" applyFill="1" applyBorder="1" applyAlignment="1">
      <alignment horizontal="center"/>
    </xf>
    <xf numFmtId="0" fontId="5" fillId="14" borderId="3" xfId="0" applyFont="1" applyFill="1" applyBorder="1" applyAlignment="1">
      <alignment horizontal="center"/>
    </xf>
    <xf numFmtId="0" fontId="5" fillId="0" borderId="30" xfId="0" applyFont="1" applyBorder="1" applyAlignment="1">
      <alignment horizontal="left"/>
    </xf>
    <xf numFmtId="0" fontId="5" fillId="0" borderId="20" xfId="0" applyFont="1" applyBorder="1" applyAlignment="1">
      <alignment horizontal="left"/>
    </xf>
  </cellXfs>
  <cellStyles count="4">
    <cellStyle name="Καλό 2" xfId="3" xr:uid="{1D564BB4-415C-40B5-BDD8-77D36FF79549}"/>
    <cellStyle name="Κανονικό" xfId="0" builtinId="0"/>
    <cellStyle name="Κανονικό 2" xfId="2" xr:uid="{5A08C768-B760-4C0A-BE6B-C2CB6C7CE5BC}"/>
    <cellStyle name="Υπερ-σύνδεση" xfId="1" builtinId="8"/>
  </cellStyles>
  <dxfs count="0"/>
  <tableStyles count="0" defaultTableStyle="TableStyleMedium2" defaultPivotStyle="PivotStyleLight16"/>
  <colors>
    <mruColors>
      <color rgb="FFFE4402"/>
      <color rgb="FFEC7E34"/>
      <color rgb="FF1407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NASA!$AB$5</c:f>
              <c:strCache>
                <c:ptCount val="1"/>
                <c:pt idx="0">
                  <c:v>DY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NASA!$W$13:$W$15</c:f>
              <c:numCache>
                <c:formatCode>General</c:formatCode>
                <c:ptCount val="3"/>
                <c:pt idx="0">
                  <c:v>0.85053000000000001</c:v>
                </c:pt>
                <c:pt idx="1">
                  <c:v>0.95023000000000002</c:v>
                </c:pt>
                <c:pt idx="2">
                  <c:v>1</c:v>
                </c:pt>
              </c:numCache>
            </c:numRef>
          </c:xVal>
          <c:yVal>
            <c:numRef>
              <c:f>NASA!$AB$13:$AB$15</c:f>
              <c:numCache>
                <c:formatCode>General</c:formatCode>
                <c:ptCount val="3"/>
                <c:pt idx="0">
                  <c:v>0</c:v>
                </c:pt>
                <c:pt idx="1">
                  <c:v>0</c:v>
                </c:pt>
                <c:pt idx="2">
                  <c:v>-1.911</c:v>
                </c:pt>
              </c:numCache>
            </c:numRef>
          </c:yVal>
          <c:smooth val="0"/>
          <c:extLst>
            <c:ext xmlns:c16="http://schemas.microsoft.com/office/drawing/2014/chart" uri="{C3380CC4-5D6E-409C-BE32-E72D297353CC}">
              <c16:uniqueId val="{00000000-1528-4870-821B-83EB33657DCF}"/>
            </c:ext>
          </c:extLst>
        </c:ser>
        <c:ser>
          <c:idx val="1"/>
          <c:order val="1"/>
          <c:tx>
            <c:strRef>
              <c:f>NASA!$AI$5</c:f>
              <c:strCache>
                <c:ptCount val="1"/>
                <c:pt idx="0">
                  <c:v>Sweep</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NASA!$AL$26:$AL$30</c:f>
              <c:numCache>
                <c:formatCode>0.00000</c:formatCode>
                <c:ptCount val="5"/>
                <c:pt idx="0">
                  <c:v>0.93</c:v>
                </c:pt>
                <c:pt idx="1">
                  <c:v>0.93600000000000005</c:v>
                </c:pt>
                <c:pt idx="2">
                  <c:v>0.99</c:v>
                </c:pt>
                <c:pt idx="3">
                  <c:v>0.998</c:v>
                </c:pt>
                <c:pt idx="4">
                  <c:v>1</c:v>
                </c:pt>
              </c:numCache>
            </c:numRef>
          </c:xVal>
          <c:yVal>
            <c:numRef>
              <c:f>NASA!$AJ$26:$AJ$30</c:f>
              <c:numCache>
                <c:formatCode>0.00</c:formatCode>
                <c:ptCount val="5"/>
                <c:pt idx="0">
                  <c:v>0</c:v>
                </c:pt>
                <c:pt idx="1">
                  <c:v>0</c:v>
                </c:pt>
                <c:pt idx="2" formatCode="0.000">
                  <c:v>-1.5269211436771479</c:v>
                </c:pt>
                <c:pt idx="3" formatCode="0.000">
                  <c:v>-1.8340714868860293</c:v>
                </c:pt>
                <c:pt idx="4" formatCode="0.000">
                  <c:v>-1.9108590726882495</c:v>
                </c:pt>
              </c:numCache>
            </c:numRef>
          </c:yVal>
          <c:smooth val="0"/>
          <c:extLst>
            <c:ext xmlns:c16="http://schemas.microsoft.com/office/drawing/2014/chart" uri="{C3380CC4-5D6E-409C-BE32-E72D297353CC}">
              <c16:uniqueId val="{00000001-1528-4870-821B-83EB33657DCF}"/>
            </c:ext>
          </c:extLst>
        </c:ser>
        <c:ser>
          <c:idx val="2"/>
          <c:order val="2"/>
          <c:tx>
            <c:strRef>
              <c:f>NASA_2_CORAL!$CP$5</c:f>
              <c:strCache>
                <c:ptCount val="1"/>
                <c:pt idx="0">
                  <c:v>X [swe]</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NASA!$AK$52:$AK$57</c:f>
              <c:numCache>
                <c:formatCode>General</c:formatCode>
                <c:ptCount val="6"/>
                <c:pt idx="0">
                  <c:v>0.89876265466816663</c:v>
                </c:pt>
                <c:pt idx="1">
                  <c:v>0.93002190515659233</c:v>
                </c:pt>
                <c:pt idx="2">
                  <c:v>0.95021017109703398</c:v>
                </c:pt>
                <c:pt idx="3">
                  <c:v>0.96974720265230008</c:v>
                </c:pt>
                <c:pt idx="4">
                  <c:v>0.98946184358534139</c:v>
                </c:pt>
                <c:pt idx="5">
                  <c:v>1.0000000000000002</c:v>
                </c:pt>
              </c:numCache>
            </c:numRef>
          </c:xVal>
          <c:yVal>
            <c:numRef>
              <c:f>NASA!$AL$52:$AL$57</c:f>
              <c:numCache>
                <c:formatCode>0.00E+00</c:formatCode>
                <c:ptCount val="6"/>
                <c:pt idx="0">
                  <c:v>0</c:v>
                </c:pt>
                <c:pt idx="1">
                  <c:v>0</c:v>
                </c:pt>
                <c:pt idx="2">
                  <c:v>0</c:v>
                </c:pt>
                <c:pt idx="3">
                  <c:v>-0.75196850393700787</c:v>
                </c:pt>
                <c:pt idx="4">
                  <c:v>-1.5039370078740157</c:v>
                </c:pt>
                <c:pt idx="5">
                  <c:v>-1.911</c:v>
                </c:pt>
              </c:numCache>
            </c:numRef>
          </c:yVal>
          <c:smooth val="0"/>
          <c:extLst>
            <c:ext xmlns:c16="http://schemas.microsoft.com/office/drawing/2014/chart" uri="{C3380CC4-5D6E-409C-BE32-E72D297353CC}">
              <c16:uniqueId val="{00000002-1528-4870-821B-83EB33657DCF}"/>
            </c:ext>
          </c:extLst>
        </c:ser>
        <c:dLbls>
          <c:showLegendKey val="0"/>
          <c:showVal val="0"/>
          <c:showCatName val="0"/>
          <c:showSerName val="0"/>
          <c:showPercent val="0"/>
          <c:showBubbleSize val="0"/>
        </c:dLbls>
        <c:axId val="2075384575"/>
        <c:axId val="2075386015"/>
      </c:scatterChart>
      <c:valAx>
        <c:axId val="2075384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2075386015"/>
        <c:crosses val="autoZero"/>
        <c:crossBetween val="midCat"/>
      </c:valAx>
      <c:valAx>
        <c:axId val="207538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20753845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blade</a:t>
            </a:r>
            <a:r>
              <a:rPr lang="en-US" baseline="0"/>
              <a:t> centers</a:t>
            </a:r>
          </a:p>
        </c:rich>
      </c:tx>
      <c:overlay val="0"/>
      <c:spPr>
        <a:noFill/>
        <a:ln>
          <a:noFill/>
        </a:ln>
        <a:effectLst/>
      </c:spPr>
    </c:title>
    <c:autoTitleDeleted val="0"/>
    <c:plotArea>
      <c:layout/>
      <c:scatterChart>
        <c:scatterStyle val="lineMarker"/>
        <c:varyColors val="0"/>
        <c:ser>
          <c:idx val="1"/>
          <c:order val="0"/>
          <c:tx>
            <c:strRef>
              <c:f>NASA_2_CORAL!$Z$5</c:f>
              <c:strCache>
                <c:ptCount val="1"/>
                <c:pt idx="0">
                  <c:v>x_c/4_[m]</c:v>
                </c:pt>
              </c:strCache>
            </c:strRef>
          </c:tx>
          <c:spPr>
            <a:ln>
              <a:solidFill>
                <a:schemeClr val="bg2">
                  <a:lumMod val="75000"/>
                </a:schemeClr>
              </a:solidFill>
            </a:ln>
          </c:spPr>
          <c:marker>
            <c:spPr>
              <a:solidFill>
                <a:schemeClr val="accent3"/>
              </a:solidFill>
              <a:ln>
                <a:solidFill>
                  <a:schemeClr val="bg2">
                    <a:lumMod val="75000"/>
                  </a:schemeClr>
                </a:solidFill>
              </a:ln>
            </c:spPr>
          </c:marker>
          <c:xVal>
            <c:numRef>
              <c:f>NASA_2_CORAL!$D$6:$D$197</c:f>
              <c:numCache>
                <c:formatCode>0.00</c:formatCode>
                <c:ptCount val="192"/>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NASA_2_CORAL!$Z$6:$Z$195</c:f>
              <c:numCache>
                <c:formatCode>0.000E+00</c:formatCode>
                <c:ptCount val="1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3.8786657383966236E-2</c:v>
                </c:pt>
                <c:pt idx="22">
                  <c:v>4.6588851476793244E-2</c:v>
                </c:pt>
                <c:pt idx="23">
                  <c:v>4.8539399999999996E-2</c:v>
                </c:pt>
              </c:numCache>
            </c:numRef>
          </c:yVal>
          <c:smooth val="0"/>
          <c:extLst>
            <c:ext xmlns:c16="http://schemas.microsoft.com/office/drawing/2014/chart" uri="{C3380CC4-5D6E-409C-BE32-E72D297353CC}">
              <c16:uniqueId val="{00000000-7C22-4DD8-972C-6D8A23CC3ECA}"/>
            </c:ext>
          </c:extLst>
        </c:ser>
        <c:ser>
          <c:idx val="0"/>
          <c:order val="1"/>
          <c:tx>
            <c:strRef>
              <c:f>NASA_2_CORAL!$AA$5</c:f>
              <c:strCache>
                <c:ptCount val="1"/>
                <c:pt idx="0">
                  <c:v>x_cg_[m]</c:v>
                </c:pt>
              </c:strCache>
            </c:strRef>
          </c:tx>
          <c:spPr>
            <a:ln>
              <a:solidFill>
                <a:srgbClr val="FFC000"/>
              </a:solidFill>
            </a:ln>
          </c:spPr>
          <c:marker>
            <c:symbol val="circle"/>
            <c:size val="5"/>
            <c:spPr>
              <a:solidFill>
                <a:schemeClr val="accent4"/>
              </a:solidFill>
              <a:ln w="9525">
                <a:solidFill>
                  <a:srgbClr val="FFC000"/>
                </a:solidFill>
              </a:ln>
              <a:effectLst/>
            </c:spPr>
          </c:marker>
          <c:xVal>
            <c:numRef>
              <c:f>NASA_2_CORAL!$D$6:$D$197</c:f>
              <c:numCache>
                <c:formatCode>0.00</c:formatCode>
                <c:ptCount val="192"/>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NASA_2_CORAL!$AA$6:$AA$197</c:f>
              <c:numCache>
                <c:formatCode>0.00E+00</c:formatCode>
                <c:ptCount val="192"/>
                <c:pt idx="0">
                  <c:v>3.2486599999999997E-2</c:v>
                </c:pt>
                <c:pt idx="1">
                  <c:v>3.2486599999999997E-2</c:v>
                </c:pt>
                <c:pt idx="2">
                  <c:v>-4.3180000000000003E-4</c:v>
                </c:pt>
                <c:pt idx="3">
                  <c:v>-1.2700000000000001E-3</c:v>
                </c:pt>
                <c:pt idx="4">
                  <c:v>1.6891E-2</c:v>
                </c:pt>
                <c:pt idx="5">
                  <c:v>1.6764000000000001E-2</c:v>
                </c:pt>
                <c:pt idx="6">
                  <c:v>-1.016E-3</c:v>
                </c:pt>
                <c:pt idx="7">
                  <c:v>-1.2446E-3</c:v>
                </c:pt>
                <c:pt idx="8">
                  <c:v>-1.397E-3</c:v>
                </c:pt>
                <c:pt idx="9">
                  <c:v>1.27E-4</c:v>
                </c:pt>
                <c:pt idx="10">
                  <c:v>-5.9182000000000002E-3</c:v>
                </c:pt>
                <c:pt idx="11">
                  <c:v>-3.4374666666666664E-3</c:v>
                </c:pt>
                <c:pt idx="12">
                  <c:v>-6.7055999999999999E-3</c:v>
                </c:pt>
                <c:pt idx="13">
                  <c:v>-8.8900000000000003E-4</c:v>
                </c:pt>
                <c:pt idx="14">
                  <c:v>3.0479999999999998E-4</c:v>
                </c:pt>
                <c:pt idx="15">
                  <c:v>-4.0301333333333331E-3</c:v>
                </c:pt>
                <c:pt idx="16">
                  <c:v>-8.534400000000001E-3</c:v>
                </c:pt>
                <c:pt idx="17">
                  <c:v>-2.3875999999999997E-3</c:v>
                </c:pt>
                <c:pt idx="18">
                  <c:v>6.3500000000000004E-4</c:v>
                </c:pt>
                <c:pt idx="19">
                  <c:v>-1.7780000000000001E-3</c:v>
                </c:pt>
                <c:pt idx="20">
                  <c:v>1.9557999999999997E-3</c:v>
                </c:pt>
                <c:pt idx="21">
                  <c:v>4.8069500000000001E-2</c:v>
                </c:pt>
                <c:pt idx="22">
                  <c:v>6.0578999999999994E-2</c:v>
                </c:pt>
                <c:pt idx="23">
                  <c:v>6.0578999999999994E-2</c:v>
                </c:pt>
              </c:numCache>
            </c:numRef>
          </c:yVal>
          <c:smooth val="0"/>
          <c:extLst>
            <c:ext xmlns:c16="http://schemas.microsoft.com/office/drawing/2014/chart" uri="{C3380CC4-5D6E-409C-BE32-E72D297353CC}">
              <c16:uniqueId val="{00000001-7C22-4DD8-972C-6D8A23CC3ECA}"/>
            </c:ext>
          </c:extLst>
        </c:ser>
        <c:ser>
          <c:idx val="4"/>
          <c:order val="2"/>
          <c:tx>
            <c:strRef>
              <c:f>NASA_2_CORAL!$AC$5</c:f>
              <c:strCache>
                <c:ptCount val="1"/>
                <c:pt idx="0">
                  <c:v>x_sh_[m]</c:v>
                </c:pt>
              </c:strCache>
            </c:strRef>
          </c:tx>
          <c:spPr>
            <a:ln>
              <a:solidFill>
                <a:schemeClr val="accent2">
                  <a:lumMod val="75000"/>
                </a:schemeClr>
              </a:solidFill>
            </a:ln>
          </c:spPr>
          <c:marker>
            <c:spPr>
              <a:ln>
                <a:solidFill>
                  <a:schemeClr val="accent2">
                    <a:lumMod val="75000"/>
                  </a:schemeClr>
                </a:solidFill>
              </a:ln>
            </c:spPr>
          </c:marker>
          <c:xVal>
            <c:numRef>
              <c:f>NASA_2_CORAL!$D$6:$D$197</c:f>
              <c:numCache>
                <c:formatCode>0.00</c:formatCode>
                <c:ptCount val="192"/>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NASA_2_CORAL!$AC$6:$AC$197</c:f>
              <c:numCache>
                <c:formatCode>0.00E+00</c:formatCode>
                <c:ptCount val="192"/>
                <c:pt idx="0">
                  <c:v>3.2258E-3</c:v>
                </c:pt>
                <c:pt idx="1">
                  <c:v>3.2258E-3</c:v>
                </c:pt>
                <c:pt idx="2">
                  <c:v>-5.0800000000000002E-5</c:v>
                </c:pt>
                <c:pt idx="3">
                  <c:v>7.8739999999999995E-4</c:v>
                </c:pt>
                <c:pt idx="4">
                  <c:v>2.0574E-3</c:v>
                </c:pt>
                <c:pt idx="5">
                  <c:v>2.2605999999999998E-3</c:v>
                </c:pt>
                <c:pt idx="6">
                  <c:v>8.3819999999999999E-4</c:v>
                </c:pt>
                <c:pt idx="7">
                  <c:v>1.016E-3</c:v>
                </c:pt>
                <c:pt idx="8">
                  <c:v>2.9971999999999998E-3</c:v>
                </c:pt>
                <c:pt idx="9">
                  <c:v>2.9971999999999998E-3</c:v>
                </c:pt>
                <c:pt idx="10">
                  <c:v>3.0479999999999999E-3</c:v>
                </c:pt>
                <c:pt idx="11">
                  <c:v>3.8184666666666663E-3</c:v>
                </c:pt>
                <c:pt idx="12">
                  <c:v>7.0866000000000002E-3</c:v>
                </c:pt>
                <c:pt idx="13">
                  <c:v>7.1374000000000003E-3</c:v>
                </c:pt>
                <c:pt idx="14">
                  <c:v>7.1120000000000003E-3</c:v>
                </c:pt>
                <c:pt idx="15">
                  <c:v>5.5710666666666667E-3</c:v>
                </c:pt>
                <c:pt idx="16">
                  <c:v>8.0009999999999994E-3</c:v>
                </c:pt>
                <c:pt idx="17">
                  <c:v>8.0517999999999996E-3</c:v>
                </c:pt>
                <c:pt idx="18">
                  <c:v>8.2042E-3</c:v>
                </c:pt>
                <c:pt idx="19">
                  <c:v>8.3312000000000004E-3</c:v>
                </c:pt>
                <c:pt idx="20">
                  <c:v>8.7375999999999981E-3</c:v>
                </c:pt>
                <c:pt idx="21">
                  <c:v>4.0347899999999999E-2</c:v>
                </c:pt>
                <c:pt idx="22">
                  <c:v>5.7124599999999998E-2</c:v>
                </c:pt>
                <c:pt idx="23">
                  <c:v>5.7124599999999998E-2</c:v>
                </c:pt>
              </c:numCache>
            </c:numRef>
          </c:yVal>
          <c:smooth val="0"/>
          <c:extLst>
            <c:ext xmlns:c16="http://schemas.microsoft.com/office/drawing/2014/chart" uri="{C3380CC4-5D6E-409C-BE32-E72D297353CC}">
              <c16:uniqueId val="{00000002-7C22-4DD8-972C-6D8A23CC3ECA}"/>
            </c:ext>
          </c:extLst>
        </c:ser>
        <c:ser>
          <c:idx val="2"/>
          <c:order val="3"/>
          <c:tx>
            <c:strRef>
              <c:f>NASA_2_CORAL!$AE$5</c:f>
              <c:strCache>
                <c:ptCount val="1"/>
                <c:pt idx="0">
                  <c:v>x_e_[m]</c:v>
                </c:pt>
              </c:strCache>
            </c:strRef>
          </c:tx>
          <c:spPr>
            <a:ln>
              <a:solidFill>
                <a:srgbClr val="00B050"/>
              </a:solidFill>
            </a:ln>
          </c:spPr>
          <c:marker>
            <c:spPr>
              <a:solidFill>
                <a:srgbClr val="00B050"/>
              </a:solidFill>
              <a:ln>
                <a:solidFill>
                  <a:srgbClr val="00B050"/>
                </a:solidFill>
              </a:ln>
            </c:spPr>
          </c:marker>
          <c:xVal>
            <c:numRef>
              <c:f>NASA_2_CORAL!$D$6:$D$197</c:f>
              <c:numCache>
                <c:formatCode>0.00</c:formatCode>
                <c:ptCount val="192"/>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NASA_2_CORAL!$AE$6:$AE$197</c:f>
              <c:numCache>
                <c:formatCode>0.00E+00</c:formatCode>
                <c:ptCount val="192"/>
                <c:pt idx="0">
                  <c:v>-2.5400000000000001E-5</c:v>
                </c:pt>
                <c:pt idx="1">
                  <c:v>-2.5400000000000001E-5</c:v>
                </c:pt>
                <c:pt idx="2">
                  <c:v>-1.3207999999999998E-3</c:v>
                </c:pt>
                <c:pt idx="3">
                  <c:v>-1.2953999999999999E-3</c:v>
                </c:pt>
                <c:pt idx="4">
                  <c:v>-6.603999999999999E-4</c:v>
                </c:pt>
                <c:pt idx="5">
                  <c:v>-6.3500000000000004E-4</c:v>
                </c:pt>
                <c:pt idx="6">
                  <c:v>-1.2953999999999999E-3</c:v>
                </c:pt>
                <c:pt idx="7">
                  <c:v>-7.8739999999999995E-4</c:v>
                </c:pt>
                <c:pt idx="8">
                  <c:v>2.1843999999999995E-3</c:v>
                </c:pt>
                <c:pt idx="9">
                  <c:v>2.2097999999999996E-3</c:v>
                </c:pt>
                <c:pt idx="10">
                  <c:v>2.1589999999999999E-3</c:v>
                </c:pt>
                <c:pt idx="11">
                  <c:v>3.2173333333333333E-3</c:v>
                </c:pt>
                <c:pt idx="12">
                  <c:v>4.4449999999999993E-3</c:v>
                </c:pt>
                <c:pt idx="13">
                  <c:v>4.4703999999999994E-3</c:v>
                </c:pt>
                <c:pt idx="14">
                  <c:v>4.4703999999999994E-3</c:v>
                </c:pt>
                <c:pt idx="15">
                  <c:v>5.5541333333333333E-3</c:v>
                </c:pt>
                <c:pt idx="16">
                  <c:v>6.6039999999999996E-3</c:v>
                </c:pt>
                <c:pt idx="17">
                  <c:v>6.6293999999999997E-3</c:v>
                </c:pt>
                <c:pt idx="18">
                  <c:v>6.7818000000000002E-3</c:v>
                </c:pt>
                <c:pt idx="19">
                  <c:v>6.6293999999999997E-3</c:v>
                </c:pt>
                <c:pt idx="20">
                  <c:v>6.8072000000000002E-3</c:v>
                </c:pt>
                <c:pt idx="21">
                  <c:v>4.6355E-2</c:v>
                </c:pt>
                <c:pt idx="22">
                  <c:v>5.7327799999999998E-2</c:v>
                </c:pt>
                <c:pt idx="23">
                  <c:v>5.7327799999999998E-2</c:v>
                </c:pt>
              </c:numCache>
            </c:numRef>
          </c:yVal>
          <c:smooth val="0"/>
          <c:extLst>
            <c:ext xmlns:c16="http://schemas.microsoft.com/office/drawing/2014/chart" uri="{C3380CC4-5D6E-409C-BE32-E72D297353CC}">
              <c16:uniqueId val="{00000003-7C22-4DD8-972C-6D8A23CC3ECA}"/>
            </c:ext>
          </c:extLst>
        </c:ser>
        <c:dLbls>
          <c:showLegendKey val="0"/>
          <c:showVal val="0"/>
          <c:showCatName val="0"/>
          <c:showSerName val="0"/>
          <c:showPercent val="0"/>
          <c:showBubbleSize val="0"/>
        </c:dLbls>
        <c:axId val="1165611968"/>
        <c:axId val="1165615328"/>
      </c:scatterChart>
      <c:valAx>
        <c:axId val="1165611968"/>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25400"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165615328"/>
        <c:crosses val="autoZero"/>
        <c:crossBetween val="midCat"/>
      </c:valAx>
      <c:valAx>
        <c:axId val="1165615328"/>
        <c:scaling>
          <c:orientation val="maxMin"/>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165611968"/>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chart>
  <c:txPr>
    <a:bodyPr/>
    <a:lstStyle/>
    <a:p>
      <a:pPr>
        <a:defRPr/>
      </a:pPr>
      <a:endParaRPr lang="en-150"/>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NASA_2_CORAL!$U$2</c:f>
              <c:strCache>
                <c:ptCount val="1"/>
                <c:pt idx="0">
                  <c:v>Poisson ratio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NASA_2_CORAL!$D$6:$D$29</c:f>
              <c:numCache>
                <c:formatCode>0.00</c:formatCode>
                <c:ptCount val="24"/>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NASA_2_CORAL!$U$6:$U$29</c:f>
              <c:numCache>
                <c:formatCode>0.00E+00</c:formatCode>
                <c:ptCount val="24"/>
                <c:pt idx="0">
                  <c:v>22241108.076499999</c:v>
                </c:pt>
                <c:pt idx="1">
                  <c:v>22241108.076499999</c:v>
                </c:pt>
                <c:pt idx="2">
                  <c:v>12626105.969582306</c:v>
                </c:pt>
                <c:pt idx="3">
                  <c:v>10744166.055416921</c:v>
                </c:pt>
                <c:pt idx="4">
                  <c:v>10590189.153348844</c:v>
                </c:pt>
                <c:pt idx="5">
                  <c:v>10590189.153348844</c:v>
                </c:pt>
                <c:pt idx="6">
                  <c:v>9888738.8217053823</c:v>
                </c:pt>
                <c:pt idx="7">
                  <c:v>8879334.6859257687</c:v>
                </c:pt>
                <c:pt idx="8">
                  <c:v>8092341.6309111537</c:v>
                </c:pt>
                <c:pt idx="9">
                  <c:v>8109450.1755853835</c:v>
                </c:pt>
                <c:pt idx="10">
                  <c:v>8092341.6309111537</c:v>
                </c:pt>
                <c:pt idx="11">
                  <c:v>7664628.0140553843</c:v>
                </c:pt>
                <c:pt idx="12">
                  <c:v>7254022.9418738456</c:v>
                </c:pt>
                <c:pt idx="13">
                  <c:v>7254022.9418738456</c:v>
                </c:pt>
                <c:pt idx="14">
                  <c:v>7271131.4865480764</c:v>
                </c:pt>
                <c:pt idx="15">
                  <c:v>6284538.7436674358</c:v>
                </c:pt>
                <c:pt idx="16">
                  <c:v>5320757.3936857684</c:v>
                </c:pt>
                <c:pt idx="17">
                  <c:v>5320757.3936857684</c:v>
                </c:pt>
                <c:pt idx="18">
                  <c:v>5354974.4830342298</c:v>
                </c:pt>
                <c:pt idx="19">
                  <c:v>5337865.9383599991</c:v>
                </c:pt>
                <c:pt idx="20">
                  <c:v>5354974.4830342298</c:v>
                </c:pt>
                <c:pt idx="21">
                  <c:v>2207002.2629757691</c:v>
                </c:pt>
                <c:pt idx="22">
                  <c:v>1630444.3074541921</c:v>
                </c:pt>
                <c:pt idx="23">
                  <c:v>1630444.3074541921</c:v>
                </c:pt>
              </c:numCache>
            </c:numRef>
          </c:yVal>
          <c:smooth val="0"/>
          <c:extLst>
            <c:ext xmlns:c16="http://schemas.microsoft.com/office/drawing/2014/chart" uri="{C3380CC4-5D6E-409C-BE32-E72D297353CC}">
              <c16:uniqueId val="{00000000-C434-4875-B946-B22439C62EC5}"/>
            </c:ext>
          </c:extLst>
        </c:ser>
        <c:ser>
          <c:idx val="1"/>
          <c:order val="1"/>
          <c:tx>
            <c:strRef>
              <c:f>NASA_2_CORAL!$V$2</c:f>
              <c:strCache>
                <c:ptCount val="1"/>
                <c:pt idx="0">
                  <c:v>Analytical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NASA_2_CORAL!$D$6:$D$29</c:f>
              <c:numCache>
                <c:formatCode>0.00</c:formatCode>
                <c:ptCount val="24"/>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NASA_2_CORAL!$V$6:$V$29</c:f>
              <c:numCache>
                <c:formatCode>0.00E+00</c:formatCode>
                <c:ptCount val="24"/>
                <c:pt idx="0">
                  <c:v>2091863.3865251299</c:v>
                </c:pt>
                <c:pt idx="1">
                  <c:v>2091863.3865251299</c:v>
                </c:pt>
                <c:pt idx="2">
                  <c:v>1591447.5843378</c:v>
                </c:pt>
                <c:pt idx="3">
                  <c:v>1350892.3741504201</c:v>
                </c:pt>
                <c:pt idx="4">
                  <c:v>1091553.3731159701</c:v>
                </c:pt>
                <c:pt idx="5">
                  <c:v>1083181.52088559</c:v>
                </c:pt>
                <c:pt idx="6">
                  <c:v>1291288.1937490499</c:v>
                </c:pt>
                <c:pt idx="7">
                  <c:v>1269444.99589071</c:v>
                </c:pt>
                <c:pt idx="8">
                  <c:v>781181.48101397301</c:v>
                </c:pt>
                <c:pt idx="9">
                  <c:v>789235.77403744101</c:v>
                </c:pt>
                <c:pt idx="10">
                  <c:v>786050.66620198195</c:v>
                </c:pt>
                <c:pt idx="11">
                  <c:v>629031.79313954595</c:v>
                </c:pt>
                <c:pt idx="12">
                  <c:v>489681.41036560002</c:v>
                </c:pt>
                <c:pt idx="13">
                  <c:v>487533.40723437798</c:v>
                </c:pt>
                <c:pt idx="14">
                  <c:v>490998.23565275199</c:v>
                </c:pt>
                <c:pt idx="15">
                  <c:v>316362.05013581598</c:v>
                </c:pt>
                <c:pt idx="16">
                  <c:v>196124.56552457999</c:v>
                </c:pt>
                <c:pt idx="17">
                  <c:v>195085.906640634</c:v>
                </c:pt>
                <c:pt idx="18">
                  <c:v>194789.15922337401</c:v>
                </c:pt>
                <c:pt idx="19">
                  <c:v>197404.42029310999</c:v>
                </c:pt>
                <c:pt idx="20">
                  <c:v>194672.707025532</c:v>
                </c:pt>
                <c:pt idx="21">
                  <c:v>46072.4250029584</c:v>
                </c:pt>
                <c:pt idx="22">
                  <c:v>40976.367678490002</c:v>
                </c:pt>
                <c:pt idx="23">
                  <c:v>40976.367678490002</c:v>
                </c:pt>
              </c:numCache>
            </c:numRef>
          </c:yVal>
          <c:smooth val="0"/>
          <c:extLst>
            <c:ext xmlns:c16="http://schemas.microsoft.com/office/drawing/2014/chart" uri="{C3380CC4-5D6E-409C-BE32-E72D297353CC}">
              <c16:uniqueId val="{00000003-C434-4875-B946-B22439C62EC5}"/>
            </c:ext>
          </c:extLst>
        </c:ser>
        <c:dLbls>
          <c:showLegendKey val="0"/>
          <c:showVal val="0"/>
          <c:showCatName val="0"/>
          <c:showSerName val="0"/>
          <c:showPercent val="0"/>
          <c:showBubbleSize val="0"/>
        </c:dLbls>
        <c:axId val="958873855"/>
        <c:axId val="958892095"/>
      </c:scatterChart>
      <c:valAx>
        <c:axId val="9588738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958892095"/>
        <c:crosses val="autoZero"/>
        <c:crossBetween val="midCat"/>
      </c:valAx>
      <c:valAx>
        <c:axId val="958892095"/>
        <c:scaling>
          <c:logBase val="10"/>
          <c:orientation val="minMax"/>
          <c:min val="10000"/>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9588738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NASA_2_CORAL!$AU$5</c:f>
              <c:strCache>
                <c:ptCount val="1"/>
                <c:pt idx="0">
                  <c:v>ρIxx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NASA_2_CORAL!$AU$6:$AU$195</c:f>
              <c:numCache>
                <c:formatCode>0.00E+00</c:formatCode>
                <c:ptCount val="190"/>
                <c:pt idx="0">
                  <c:v>6.4161673456464963E-5</c:v>
                </c:pt>
                <c:pt idx="1">
                  <c:v>6.2790258801710287E-5</c:v>
                </c:pt>
                <c:pt idx="2">
                  <c:v>2.8192611598861023E-5</c:v>
                </c:pt>
                <c:pt idx="3">
                  <c:v>3.2269012321581281E-5</c:v>
                </c:pt>
                <c:pt idx="4">
                  <c:v>3.8339244748038046E-5</c:v>
                </c:pt>
                <c:pt idx="5">
                  <c:v>4.485612176765937E-5</c:v>
                </c:pt>
                <c:pt idx="6">
                  <c:v>3.1377168721357403E-5</c:v>
                </c:pt>
                <c:pt idx="7">
                  <c:v>3.1342573886642789E-5</c:v>
                </c:pt>
                <c:pt idx="8">
                  <c:v>2.8714207879765061E-5</c:v>
                </c:pt>
                <c:pt idx="9">
                  <c:v>3.414326471764879E-5</c:v>
                </c:pt>
                <c:pt idx="10">
                  <c:v>2.9269790431811767E-5</c:v>
                </c:pt>
                <c:pt idx="11">
                  <c:v>2.2608394888465891E-5</c:v>
                </c:pt>
                <c:pt idx="12">
                  <c:v>1.7456804110735043E-5</c:v>
                </c:pt>
                <c:pt idx="13">
                  <c:v>1.7148247519535507E-5</c:v>
                </c:pt>
                <c:pt idx="14">
                  <c:v>1.8581319744734545E-5</c:v>
                </c:pt>
                <c:pt idx="15">
                  <c:v>1.2142095821777003E-5</c:v>
                </c:pt>
                <c:pt idx="16">
                  <c:v>8.170990142230289E-6</c:v>
                </c:pt>
                <c:pt idx="17">
                  <c:v>7.6567615261703372E-6</c:v>
                </c:pt>
                <c:pt idx="18">
                  <c:v>7.9784493020832456E-6</c:v>
                </c:pt>
                <c:pt idx="19">
                  <c:v>7.5047714654793493E-6</c:v>
                </c:pt>
                <c:pt idx="20">
                  <c:v>8.7346952475131671E-6</c:v>
                </c:pt>
                <c:pt idx="21">
                  <c:v>1.2590787864081442E-6</c:v>
                </c:pt>
                <c:pt idx="22">
                  <c:v>8.4735250540258556E-7</c:v>
                </c:pt>
                <c:pt idx="23">
                  <c:v>8.2350419241567316E-7</c:v>
                </c:pt>
              </c:numCache>
            </c:numRef>
          </c:yVal>
          <c:smooth val="0"/>
          <c:extLst>
            <c:ext xmlns:c16="http://schemas.microsoft.com/office/drawing/2014/chart" uri="{C3380CC4-5D6E-409C-BE32-E72D297353CC}">
              <c16:uniqueId val="{00000000-547B-4A0C-8DB6-E46A0490D525}"/>
            </c:ext>
          </c:extLst>
        </c:ser>
        <c:ser>
          <c:idx val="1"/>
          <c:order val="1"/>
          <c:tx>
            <c:strRef>
              <c:f>NASA_2_CORAL!$BI$3</c:f>
              <c:strCache>
                <c:ptCount val="1"/>
                <c:pt idx="0">
                  <c:v>Blade fixed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NASA_2_CORAL!$BP$6:$BP$195</c:f>
              <c:numCache>
                <c:formatCode>0.00E+00</c:formatCode>
                <c:ptCount val="190"/>
                <c:pt idx="0">
                  <c:v>9.3980292552954387E-5</c:v>
                </c:pt>
                <c:pt idx="1">
                  <c:v>9.1387750404791309E-5</c:v>
                </c:pt>
                <c:pt idx="2">
                  <c:v>5.7756624243065578E-5</c:v>
                </c:pt>
                <c:pt idx="3">
                  <c:v>6.1091494522408403E-5</c:v>
                </c:pt>
                <c:pt idx="4">
                  <c:v>3.8004462407414209E-5</c:v>
                </c:pt>
                <c:pt idx="5">
                  <c:v>4.422586764374677E-5</c:v>
                </c:pt>
                <c:pt idx="6">
                  <c:v>4.2224882182338249E-5</c:v>
                </c:pt>
                <c:pt idx="7">
                  <c:v>3.8754081351230706E-5</c:v>
                </c:pt>
                <c:pt idx="8">
                  <c:v>3.2018607112083416E-5</c:v>
                </c:pt>
                <c:pt idx="9">
                  <c:v>3.9934700053448439E-5</c:v>
                </c:pt>
                <c:pt idx="10">
                  <c:v>3.4633011658789879E-5</c:v>
                </c:pt>
                <c:pt idx="11">
                  <c:v>2.3884689350011512E-5</c:v>
                </c:pt>
                <c:pt idx="12">
                  <c:v>1.838237204741609E-5</c:v>
                </c:pt>
                <c:pt idx="13">
                  <c:v>1.7147643832395407E-5</c:v>
                </c:pt>
                <c:pt idx="14">
                  <c:v>1.8591651882406676E-5</c:v>
                </c:pt>
                <c:pt idx="15">
                  <c:v>1.2162359945387167E-5</c:v>
                </c:pt>
                <c:pt idx="16">
                  <c:v>8.4224205721848138E-6</c:v>
                </c:pt>
                <c:pt idx="17">
                  <c:v>1.0740970437137697E-5</c:v>
                </c:pt>
                <c:pt idx="18">
                  <c:v>1.2424985268336759E-5</c:v>
                </c:pt>
                <c:pt idx="19">
                  <c:v>8.7046170544481786E-6</c:v>
                </c:pt>
                <c:pt idx="20">
                  <c:v>9.9270800190509167E-6</c:v>
                </c:pt>
                <c:pt idx="21">
                  <c:v>2.3206427663517713E-6</c:v>
                </c:pt>
                <c:pt idx="22">
                  <c:v>1.3951766299904276E-6</c:v>
                </c:pt>
                <c:pt idx="23">
                  <c:v>1.4034779907340641E-6</c:v>
                </c:pt>
              </c:numCache>
            </c:numRef>
          </c:yVal>
          <c:smooth val="0"/>
          <c:extLst>
            <c:ext xmlns:c16="http://schemas.microsoft.com/office/drawing/2014/chart" uri="{C3380CC4-5D6E-409C-BE32-E72D297353CC}">
              <c16:uniqueId val="{00000001-547B-4A0C-8DB6-E46A0490D525}"/>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NASA_2_CORAL!$AV$5</c:f>
              <c:strCache>
                <c:ptCount val="1"/>
                <c:pt idx="0">
                  <c:v>ρIzz</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NASA_2_CORAL!$AV$6:$AV$195</c:f>
              <c:numCache>
                <c:formatCode>0.00E+00</c:formatCode>
                <c:ptCount val="190"/>
                <c:pt idx="0">
                  <c:v>6.1673424682230481E-3</c:v>
                </c:pt>
                <c:pt idx="1">
                  <c:v>6.1687138828778023E-3</c:v>
                </c:pt>
                <c:pt idx="2">
                  <c:v>1.6151305805724751E-3</c:v>
                </c:pt>
                <c:pt idx="3">
                  <c:v>1.4975234027894025E-3</c:v>
                </c:pt>
                <c:pt idx="4">
                  <c:v>1.4691943672608605E-3</c:v>
                </c:pt>
                <c:pt idx="5">
                  <c:v>1.4644095165326962E-3</c:v>
                </c:pt>
                <c:pt idx="6">
                  <c:v>1.527473182920028E-3</c:v>
                </c:pt>
                <c:pt idx="7">
                  <c:v>1.4881040962199305E-3</c:v>
                </c:pt>
                <c:pt idx="8">
                  <c:v>1.6668223252657244E-3</c:v>
                </c:pt>
                <c:pt idx="9">
                  <c:v>1.6547455569115314E-3</c:v>
                </c:pt>
                <c:pt idx="10">
                  <c:v>1.8126199462234652E-3</c:v>
                </c:pt>
                <c:pt idx="11">
                  <c:v>1.4875491536919907E-3</c:v>
                </c:pt>
                <c:pt idx="12">
                  <c:v>1.5098064144648919E-3</c:v>
                </c:pt>
                <c:pt idx="13">
                  <c:v>1.3621365163665002E-3</c:v>
                </c:pt>
                <c:pt idx="14">
                  <c:v>1.3345796213116757E-3</c:v>
                </c:pt>
                <c:pt idx="15">
                  <c:v>1.3734447191522739E-3</c:v>
                </c:pt>
                <c:pt idx="16">
                  <c:v>1.444956699079674E-3</c:v>
                </c:pt>
                <c:pt idx="17">
                  <c:v>1.2519812052646589E-3</c:v>
                </c:pt>
                <c:pt idx="18">
                  <c:v>1.4328883575811591E-3</c:v>
                </c:pt>
                <c:pt idx="19">
                  <c:v>1.2625469091560424E-3</c:v>
                </c:pt>
                <c:pt idx="20">
                  <c:v>1.5352950894089023E-3</c:v>
                </c:pt>
                <c:pt idx="21">
                  <c:v>2.7192392414895152E-4</c:v>
                </c:pt>
                <c:pt idx="22">
                  <c:v>1.889838068067374E-4</c:v>
                </c:pt>
                <c:pt idx="23">
                  <c:v>1.7402497584743227E-4</c:v>
                </c:pt>
              </c:numCache>
            </c:numRef>
          </c:yVal>
          <c:smooth val="0"/>
          <c:extLst>
            <c:ext xmlns:c16="http://schemas.microsoft.com/office/drawing/2014/chart" uri="{C3380CC4-5D6E-409C-BE32-E72D297353CC}">
              <c16:uniqueId val="{00000000-D31D-4602-818B-AE9F7C81A05C}"/>
            </c:ext>
          </c:extLst>
        </c:ser>
        <c:ser>
          <c:idx val="1"/>
          <c:order val="1"/>
          <c:tx>
            <c:strRef>
              <c:f>NASA_2_CORAL!$BI$3</c:f>
              <c:strCache>
                <c:ptCount val="1"/>
                <c:pt idx="0">
                  <c:v>Blade fixed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NASA_2_CORAL!$BQ$6:$BQ$195</c:f>
              <c:numCache>
                <c:formatCode>0.00E+00</c:formatCode>
                <c:ptCount val="190"/>
                <c:pt idx="0">
                  <c:v>6.1375238491265588E-3</c:v>
                </c:pt>
                <c:pt idx="1">
                  <c:v>6.1401163912747211E-3</c:v>
                </c:pt>
                <c:pt idx="2">
                  <c:v>1.5855665679282704E-3</c:v>
                </c:pt>
                <c:pt idx="3">
                  <c:v>1.4687009205885753E-3</c:v>
                </c:pt>
                <c:pt idx="4">
                  <c:v>1.4695291496014842E-3</c:v>
                </c:pt>
                <c:pt idx="5">
                  <c:v>1.4650397706566089E-3</c:v>
                </c:pt>
                <c:pt idx="6">
                  <c:v>1.5166254694590469E-3</c:v>
                </c:pt>
                <c:pt idx="7">
                  <c:v>1.4806925887553427E-3</c:v>
                </c:pt>
                <c:pt idx="8">
                  <c:v>1.663517926033406E-3</c:v>
                </c:pt>
                <c:pt idx="9">
                  <c:v>1.6489541215757317E-3</c:v>
                </c:pt>
                <c:pt idx="10">
                  <c:v>1.807256724996487E-3</c:v>
                </c:pt>
                <c:pt idx="11">
                  <c:v>1.4862728592304449E-3</c:v>
                </c:pt>
                <c:pt idx="12">
                  <c:v>1.508880846528211E-3</c:v>
                </c:pt>
                <c:pt idx="13">
                  <c:v>1.3621371200536402E-3</c:v>
                </c:pt>
                <c:pt idx="14">
                  <c:v>1.3345692891740034E-3</c:v>
                </c:pt>
                <c:pt idx="15">
                  <c:v>1.3734244550286639E-3</c:v>
                </c:pt>
                <c:pt idx="16">
                  <c:v>1.4447052686497193E-3</c:v>
                </c:pt>
                <c:pt idx="17">
                  <c:v>1.2488969963536914E-3</c:v>
                </c:pt>
                <c:pt idx="18">
                  <c:v>1.4284418216149056E-3</c:v>
                </c:pt>
                <c:pt idx="19">
                  <c:v>1.2613470635670736E-3</c:v>
                </c:pt>
                <c:pt idx="20">
                  <c:v>1.5341027046373646E-3</c:v>
                </c:pt>
                <c:pt idx="21">
                  <c:v>2.7086236016900792E-4</c:v>
                </c:pt>
                <c:pt idx="22">
                  <c:v>1.8843598268214958E-4</c:v>
                </c:pt>
                <c:pt idx="23">
                  <c:v>1.7344500204911388E-4</c:v>
                </c:pt>
              </c:numCache>
            </c:numRef>
          </c:yVal>
          <c:smooth val="0"/>
          <c:extLst>
            <c:ext xmlns:c16="http://schemas.microsoft.com/office/drawing/2014/chart" uri="{C3380CC4-5D6E-409C-BE32-E72D297353CC}">
              <c16:uniqueId val="{00000001-D31D-4602-818B-AE9F7C81A05C}"/>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NASA_2_CORAL!$AW$5</c:f>
              <c:strCache>
                <c:ptCount val="1"/>
                <c:pt idx="0">
                  <c:v>ρIxz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NASA_2_CORAL!$AW$6:$AW$195</c:f>
              <c:numCache>
                <c:formatCode>0.00E+00</c:formatCode>
                <c:ptCount val="190"/>
                <c:pt idx="0">
                  <c:v>3.3412898891877266E-4</c:v>
                </c:pt>
                <c:pt idx="1">
                  <c:v>3.2855808885008089E-4</c:v>
                </c:pt>
                <c:pt idx="2">
                  <c:v>-8.9434436459422153E-6</c:v>
                </c:pt>
                <c:pt idx="3">
                  <c:v>-2.8937871551600412E-5</c:v>
                </c:pt>
                <c:pt idx="4">
                  <c:v>6.55452815286637E-5</c:v>
                </c:pt>
                <c:pt idx="5">
                  <c:v>6.4074590292181438E-5</c:v>
                </c:pt>
                <c:pt idx="6">
                  <c:v>-2.6931970468962261E-5</c:v>
                </c:pt>
                <c:pt idx="7">
                  <c:v>-2.8569098193804247E-5</c:v>
                </c:pt>
                <c:pt idx="8">
                  <c:v>-1.1928559497195503E-5</c:v>
                </c:pt>
                <c:pt idx="9">
                  <c:v>-4.8322000710556115E-5</c:v>
                </c:pt>
                <c:pt idx="10">
                  <c:v>-4.5321096904905997E-5</c:v>
                </c:pt>
                <c:pt idx="11">
                  <c:v>-2.1250849801158399E-5</c:v>
                </c:pt>
                <c:pt idx="12">
                  <c:v>-2.8578785589585466E-5</c:v>
                </c:pt>
                <c:pt idx="13">
                  <c:v>1.192075379376803E-6</c:v>
                </c:pt>
                <c:pt idx="14">
                  <c:v>-2.1429489558051234E-5</c:v>
                </c:pt>
                <c:pt idx="15">
                  <c:v>-1.19847894581606E-5</c:v>
                </c:pt>
                <c:pt idx="16">
                  <c:v>-1.2517060277199216E-5</c:v>
                </c:pt>
                <c:pt idx="17">
                  <c:v>9.5971352091680955E-6</c:v>
                </c:pt>
                <c:pt idx="18">
                  <c:v>2.412976762756173E-5</c:v>
                </c:pt>
                <c:pt idx="19">
                  <c:v>-1.3893189784011144E-5</c:v>
                </c:pt>
                <c:pt idx="20">
                  <c:v>-2.1507423239685468E-5</c:v>
                </c:pt>
                <c:pt idx="21">
                  <c:v>1.1297009025135398E-6</c:v>
                </c:pt>
                <c:pt idx="22">
                  <c:v>-1.1756895601563609E-6</c:v>
                </c:pt>
                <c:pt idx="23">
                  <c:v>-5.3774766039338057E-7</c:v>
                </c:pt>
              </c:numCache>
            </c:numRef>
          </c:yVal>
          <c:smooth val="0"/>
          <c:extLst>
            <c:ext xmlns:c16="http://schemas.microsoft.com/office/drawing/2014/chart" uri="{C3380CC4-5D6E-409C-BE32-E72D297353CC}">
              <c16:uniqueId val="{00000000-67F3-471A-962D-784FAF09A76B}"/>
            </c:ext>
          </c:extLst>
        </c:ser>
        <c:ser>
          <c:idx val="1"/>
          <c:order val="1"/>
          <c:tx>
            <c:strRef>
              <c:f>NASA_2_CORAL!$BI$3</c:f>
              <c:strCache>
                <c:ptCount val="1"/>
                <c:pt idx="0">
                  <c:v>Blade fixed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NASA_2_CORAL!$BR$6:$BR$195</c:f>
              <c:numCache>
                <c:formatCode>0.00E+00</c:formatCode>
                <c:ptCount val="190"/>
                <c:pt idx="0">
                  <c:v>-5.4105587011621208E-4</c:v>
                </c:pt>
                <c:pt idx="1">
                  <c:v>-5.3079817331204079E-4</c:v>
                </c:pt>
                <c:pt idx="2">
                  <c:v>-2.1476081700563021E-4</c:v>
                </c:pt>
                <c:pt idx="3">
                  <c:v>-2.0552112669665546E-4</c:v>
                </c:pt>
                <c:pt idx="4">
                  <c:v>-6.1782253313128922E-5</c:v>
                </c:pt>
                <c:pt idx="5">
                  <c:v>-5.6661067053890996E-5</c:v>
                </c:pt>
                <c:pt idx="6">
                  <c:v>-1.2975699988113277E-4</c:v>
                </c:pt>
                <c:pt idx="7">
                  <c:v>-1.0750842676556637E-4</c:v>
                </c:pt>
                <c:pt idx="8">
                  <c:v>-7.4460289301990596E-5</c:v>
                </c:pt>
                <c:pt idx="9">
                  <c:v>-1.0810683794150984E-4</c:v>
                </c:pt>
                <c:pt idx="10">
                  <c:v>-1.0765565054102364E-4</c:v>
                </c:pt>
                <c:pt idx="11">
                  <c:v>-4.8162905504883522E-5</c:v>
                </c:pt>
                <c:pt idx="12">
                  <c:v>-4.6873886754057455E-5</c:v>
                </c:pt>
                <c:pt idx="13">
                  <c:v>-7.8044296670055785E-7</c:v>
                </c:pt>
                <c:pt idx="14">
                  <c:v>-2.1744424379453078E-5</c:v>
                </c:pt>
                <c:pt idx="15">
                  <c:v>1.3085120265081737E-5</c:v>
                </c:pt>
                <c:pt idx="16">
                  <c:v>2.2756652417980988E-5</c:v>
                </c:pt>
                <c:pt idx="17">
                  <c:v>6.2612691981175027E-5</c:v>
                </c:pt>
                <c:pt idx="18">
                  <c:v>8.3056529902801298E-5</c:v>
                </c:pt>
                <c:pt idx="19">
                  <c:v>4.1199974099689646E-5</c:v>
                </c:pt>
                <c:pt idx="20">
                  <c:v>4.7763949164595292E-5</c:v>
                </c:pt>
                <c:pt idx="21">
                  <c:v>1.6955157224853734E-5</c:v>
                </c:pt>
                <c:pt idx="22">
                  <c:v>1.0205284074981513E-5</c:v>
                </c:pt>
                <c:pt idx="23">
                  <c:v>1.002023544282349E-5</c:v>
                </c:pt>
              </c:numCache>
            </c:numRef>
          </c:yVal>
          <c:smooth val="0"/>
          <c:extLst>
            <c:ext xmlns:c16="http://schemas.microsoft.com/office/drawing/2014/chart" uri="{C3380CC4-5D6E-409C-BE32-E72D297353CC}">
              <c16:uniqueId val="{00000001-67F3-471A-962D-784FAF09A76B}"/>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NASA_2_CORAL!$AX$5</c:f>
              <c:strCache>
                <c:ptCount val="1"/>
                <c:pt idx="0">
                  <c:v>EIxx</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NASA_2_CORAL!$AX$6:$AX$195</c:f>
              <c:numCache>
                <c:formatCode>0.00E+00</c:formatCode>
                <c:ptCount val="190"/>
                <c:pt idx="0">
                  <c:v>829.13981257554917</c:v>
                </c:pt>
                <c:pt idx="1">
                  <c:v>829.13951650084243</c:v>
                </c:pt>
                <c:pt idx="2">
                  <c:v>907.41871329750768</c:v>
                </c:pt>
                <c:pt idx="3">
                  <c:v>1083.7372877704695</c:v>
                </c:pt>
                <c:pt idx="4">
                  <c:v>955.92485310466589</c:v>
                </c:pt>
                <c:pt idx="5">
                  <c:v>776.28363070912997</c:v>
                </c:pt>
                <c:pt idx="6">
                  <c:v>1018.7671224910983</c:v>
                </c:pt>
                <c:pt idx="7">
                  <c:v>936.07139885929621</c:v>
                </c:pt>
                <c:pt idx="8">
                  <c:v>528.78458511033978</c:v>
                </c:pt>
                <c:pt idx="9">
                  <c:v>533.11298112141458</c:v>
                </c:pt>
                <c:pt idx="10">
                  <c:v>527.69003286597547</c:v>
                </c:pt>
                <c:pt idx="11">
                  <c:v>407.09682572030812</c:v>
                </c:pt>
                <c:pt idx="12">
                  <c:v>309.7126373990979</c:v>
                </c:pt>
                <c:pt idx="13">
                  <c:v>305.98021489245787</c:v>
                </c:pt>
                <c:pt idx="14">
                  <c:v>306.12428585561912</c:v>
                </c:pt>
                <c:pt idx="15">
                  <c:v>162.53087843769475</c:v>
                </c:pt>
                <c:pt idx="16">
                  <c:v>76.589978547973786</c:v>
                </c:pt>
                <c:pt idx="17">
                  <c:v>74.512289258809091</c:v>
                </c:pt>
                <c:pt idx="18">
                  <c:v>74.813141275500598</c:v>
                </c:pt>
                <c:pt idx="19">
                  <c:v>74.66499230183021</c:v>
                </c:pt>
                <c:pt idx="20">
                  <c:v>75.37761635693515</c:v>
                </c:pt>
                <c:pt idx="21">
                  <c:v>8.4958846959363381</c:v>
                </c:pt>
                <c:pt idx="22">
                  <c:v>4.7246309149500254</c:v>
                </c:pt>
                <c:pt idx="23">
                  <c:v>4.6413012389309456</c:v>
                </c:pt>
              </c:numCache>
            </c:numRef>
          </c:yVal>
          <c:smooth val="0"/>
          <c:extLst>
            <c:ext xmlns:c16="http://schemas.microsoft.com/office/drawing/2014/chart" uri="{C3380CC4-5D6E-409C-BE32-E72D297353CC}">
              <c16:uniqueId val="{00000000-9DF8-4AA5-BE72-EB4B3680323E}"/>
            </c:ext>
          </c:extLst>
        </c:ser>
        <c:ser>
          <c:idx val="1"/>
          <c:order val="1"/>
          <c:tx>
            <c:strRef>
              <c:f>NASA_2_CORAL!$BV$5</c:f>
              <c:strCache>
                <c:ptCount val="1"/>
                <c:pt idx="0">
                  <c:v>Eixx [Nm^2]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NASA_2_CORAL!$BV$6:$BV$195</c:f>
              <c:numCache>
                <c:formatCode>0.00E+00</c:formatCode>
                <c:ptCount val="190"/>
                <c:pt idx="0">
                  <c:v>1198.2697863273588</c:v>
                </c:pt>
                <c:pt idx="1">
                  <c:v>1184.3503098187011</c:v>
                </c:pt>
                <c:pt idx="2">
                  <c:v>1141.7623210352344</c:v>
                </c:pt>
                <c:pt idx="3">
                  <c:v>1298.0850741258919</c:v>
                </c:pt>
                <c:pt idx="4">
                  <c:v>1059.3171873641497</c:v>
                </c:pt>
                <c:pt idx="5">
                  <c:v>889.18215728877431</c:v>
                </c:pt>
                <c:pt idx="6">
                  <c:v>1097.4485574280779</c:v>
                </c:pt>
                <c:pt idx="7">
                  <c:v>981.43702059706288</c:v>
                </c:pt>
                <c:pt idx="8">
                  <c:v>534.52862915998764</c:v>
                </c:pt>
                <c:pt idx="9">
                  <c:v>538.55909504146598</c:v>
                </c:pt>
                <c:pt idx="10">
                  <c:v>532.26095433973865</c:v>
                </c:pt>
                <c:pt idx="11">
                  <c:v>403.7603823144845</c:v>
                </c:pt>
                <c:pt idx="12">
                  <c:v>305.29365229451764</c:v>
                </c:pt>
                <c:pt idx="13">
                  <c:v>305.34296533651428</c:v>
                </c:pt>
                <c:pt idx="14">
                  <c:v>306.01932815139384</c:v>
                </c:pt>
                <c:pt idx="15">
                  <c:v>170.75613006302183</c:v>
                </c:pt>
                <c:pt idx="16">
                  <c:v>84.488070404390527</c:v>
                </c:pt>
                <c:pt idx="17">
                  <c:v>92.093297990798717</c:v>
                </c:pt>
                <c:pt idx="18">
                  <c:v>92.202054846118614</c:v>
                </c:pt>
                <c:pt idx="19">
                  <c:v>92.917653191318919</c:v>
                </c:pt>
                <c:pt idx="20">
                  <c:v>94.820606331326104</c:v>
                </c:pt>
                <c:pt idx="21">
                  <c:v>15.72497222766229</c:v>
                </c:pt>
                <c:pt idx="22">
                  <c:v>8.926287441211306</c:v>
                </c:pt>
                <c:pt idx="23">
                  <c:v>8.9743081255447112</c:v>
                </c:pt>
              </c:numCache>
            </c:numRef>
          </c:yVal>
          <c:smooth val="0"/>
          <c:extLst>
            <c:ext xmlns:c16="http://schemas.microsoft.com/office/drawing/2014/chart" uri="{C3380CC4-5D6E-409C-BE32-E72D297353CC}">
              <c16:uniqueId val="{00000001-9DF8-4AA5-BE72-EB4B3680323E}"/>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NASA_2_CORAL!$AY$5</c:f>
              <c:strCache>
                <c:ptCount val="1"/>
                <c:pt idx="0">
                  <c:v>EIzz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NASA_2_CORAL!$AY$6:$AY$195</c:f>
              <c:numCache>
                <c:formatCode>0.00E+00</c:formatCode>
                <c:ptCount val="190"/>
                <c:pt idx="0">
                  <c:v>20289.6081447795</c:v>
                </c:pt>
                <c:pt idx="1">
                  <c:v>20289.608440854208</c:v>
                </c:pt>
                <c:pt idx="2">
                  <c:v>13097.269697317646</c:v>
                </c:pt>
                <c:pt idx="3">
                  <c:v>11630.528286467097</c:v>
                </c:pt>
                <c:pt idx="4">
                  <c:v>11301.167766962089</c:v>
                </c:pt>
                <c:pt idx="5">
                  <c:v>11264.501473453938</c:v>
                </c:pt>
                <c:pt idx="6">
                  <c:v>11216.091608518018</c:v>
                </c:pt>
                <c:pt idx="7">
                  <c:v>10349.783389645319</c:v>
                </c:pt>
                <c:pt idx="8">
                  <c:v>8530.1526022257203</c:v>
                </c:pt>
                <c:pt idx="9">
                  <c:v>8532.770879574171</c:v>
                </c:pt>
                <c:pt idx="10">
                  <c:v>8471.1422441555223</c:v>
                </c:pt>
                <c:pt idx="11">
                  <c:v>7720.0474597064722</c:v>
                </c:pt>
                <c:pt idx="12">
                  <c:v>7169.519574812196</c:v>
                </c:pt>
                <c:pt idx="13">
                  <c:v>7206.5281870260606</c:v>
                </c:pt>
                <c:pt idx="14">
                  <c:v>7207.8748412866471</c:v>
                </c:pt>
                <c:pt idx="15">
                  <c:v>6621.7817071000418</c:v>
                </c:pt>
                <c:pt idx="16">
                  <c:v>6030.9172897603412</c:v>
                </c:pt>
                <c:pt idx="17">
                  <c:v>6066.5009548163416</c:v>
                </c:pt>
                <c:pt idx="18">
                  <c:v>6184.7687625206927</c:v>
                </c:pt>
                <c:pt idx="19">
                  <c:v>6068.6109858380369</c:v>
                </c:pt>
                <c:pt idx="20">
                  <c:v>6247.8503194557907</c:v>
                </c:pt>
                <c:pt idx="21">
                  <c:v>1591.8781027426267</c:v>
                </c:pt>
                <c:pt idx="22">
                  <c:v>1236.0394124077939</c:v>
                </c:pt>
                <c:pt idx="23">
                  <c:v>1074.657386634964</c:v>
                </c:pt>
              </c:numCache>
            </c:numRef>
          </c:yVal>
          <c:smooth val="0"/>
          <c:extLst>
            <c:ext xmlns:c16="http://schemas.microsoft.com/office/drawing/2014/chart" uri="{C3380CC4-5D6E-409C-BE32-E72D297353CC}">
              <c16:uniqueId val="{00000000-259D-4DA2-A2C9-E9AD70C16072}"/>
            </c:ext>
          </c:extLst>
        </c:ser>
        <c:ser>
          <c:idx val="1"/>
          <c:order val="1"/>
          <c:tx>
            <c:strRef>
              <c:f>NASA_2_CORAL!$BW$5</c:f>
              <c:strCache>
                <c:ptCount val="1"/>
                <c:pt idx="0">
                  <c:v>Eizz [Nm^2]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NASA_2_CORAL!$BW$6:$BW$195</c:f>
              <c:numCache>
                <c:formatCode>0.00E+00</c:formatCode>
                <c:ptCount val="190"/>
                <c:pt idx="0">
                  <c:v>19920.478171027691</c:v>
                </c:pt>
                <c:pt idx="1">
                  <c:v>19934.397647536352</c:v>
                </c:pt>
                <c:pt idx="2">
                  <c:v>12862.92608957992</c:v>
                </c:pt>
                <c:pt idx="3">
                  <c:v>11416.180500111674</c:v>
                </c:pt>
                <c:pt idx="4">
                  <c:v>11197.775432702603</c:v>
                </c:pt>
                <c:pt idx="5">
                  <c:v>11151.602946874293</c:v>
                </c:pt>
                <c:pt idx="6">
                  <c:v>11137.410173581038</c:v>
                </c:pt>
                <c:pt idx="7">
                  <c:v>10304.417767907553</c:v>
                </c:pt>
                <c:pt idx="8">
                  <c:v>8524.4085581760719</c:v>
                </c:pt>
                <c:pt idx="9">
                  <c:v>8527.3247656541189</c:v>
                </c:pt>
                <c:pt idx="10">
                  <c:v>8466.5713226817588</c:v>
                </c:pt>
                <c:pt idx="11">
                  <c:v>7723.3839031122961</c:v>
                </c:pt>
                <c:pt idx="12">
                  <c:v>7173.9385599167763</c:v>
                </c:pt>
                <c:pt idx="13">
                  <c:v>7207.1654365820041</c:v>
                </c:pt>
                <c:pt idx="14">
                  <c:v>7207.979798990872</c:v>
                </c:pt>
                <c:pt idx="15">
                  <c:v>6613.5564554747152</c:v>
                </c:pt>
                <c:pt idx="16">
                  <c:v>6023.0191979039246</c:v>
                </c:pt>
                <c:pt idx="17">
                  <c:v>6048.9199460843511</c:v>
                </c:pt>
                <c:pt idx="18">
                  <c:v>6167.3798489500759</c:v>
                </c:pt>
                <c:pt idx="19">
                  <c:v>6050.3583249485482</c:v>
                </c:pt>
                <c:pt idx="20">
                  <c:v>6228.4073294813998</c:v>
                </c:pt>
                <c:pt idx="21">
                  <c:v>1584.6490152109006</c:v>
                </c:pt>
                <c:pt idx="22">
                  <c:v>1231.8377558815325</c:v>
                </c:pt>
                <c:pt idx="23">
                  <c:v>1070.3243797483503</c:v>
                </c:pt>
              </c:numCache>
            </c:numRef>
          </c:yVal>
          <c:smooth val="0"/>
          <c:extLst>
            <c:ext xmlns:c16="http://schemas.microsoft.com/office/drawing/2014/chart" uri="{C3380CC4-5D6E-409C-BE32-E72D297353CC}">
              <c16:uniqueId val="{00000001-259D-4DA2-A2C9-E9AD70C16072}"/>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NASA_2_CORAL!$AZ$5</c:f>
              <c:strCache>
                <c:ptCount val="1"/>
                <c:pt idx="0">
                  <c:v> + EIxz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NASA_2_CORAL!$AZ$6:$AZ$195</c:f>
              <c:numCache>
                <c:formatCode>0.00E+00</c:formatCode>
                <c:ptCount val="190"/>
                <c:pt idx="0">
                  <c:v>94.759662858523455</c:v>
                </c:pt>
                <c:pt idx="1">
                  <c:v>94.760057456459862</c:v>
                </c:pt>
                <c:pt idx="2">
                  <c:v>-96.612702576841755</c:v>
                </c:pt>
                <c:pt idx="3">
                  <c:v>-236.72212927996651</c:v>
                </c:pt>
                <c:pt idx="4">
                  <c:v>-125.4871641200854</c:v>
                </c:pt>
                <c:pt idx="5">
                  <c:v>-222.97441039874457</c:v>
                </c:pt>
                <c:pt idx="6">
                  <c:v>-217.99277327937034</c:v>
                </c:pt>
                <c:pt idx="7">
                  <c:v>-161.33824339522306</c:v>
                </c:pt>
                <c:pt idx="8">
                  <c:v>77.832543185015297</c:v>
                </c:pt>
                <c:pt idx="9">
                  <c:v>74.433307281351944</c:v>
                </c:pt>
                <c:pt idx="10">
                  <c:v>73.975991006625421</c:v>
                </c:pt>
                <c:pt idx="11">
                  <c:v>157.99090868213497</c:v>
                </c:pt>
                <c:pt idx="12">
                  <c:v>222.220001068671</c:v>
                </c:pt>
                <c:pt idx="13">
                  <c:v>222.31923522367182</c:v>
                </c:pt>
                <c:pt idx="14">
                  <c:v>220.11420875475375</c:v>
                </c:pt>
                <c:pt idx="15">
                  <c:v>163.91101950885607</c:v>
                </c:pt>
                <c:pt idx="16">
                  <c:v>87.819790942942433</c:v>
                </c:pt>
                <c:pt idx="17">
                  <c:v>78.221186650962949</c:v>
                </c:pt>
                <c:pt idx="18">
                  <c:v>83.212287444744774</c:v>
                </c:pt>
                <c:pt idx="19">
                  <c:v>76.417946039795723</c:v>
                </c:pt>
                <c:pt idx="20">
                  <c:v>74.355621907976087</c:v>
                </c:pt>
                <c:pt idx="21">
                  <c:v>15.318206817088576</c:v>
                </c:pt>
                <c:pt idx="22">
                  <c:v>-2.5971616380515457</c:v>
                </c:pt>
                <c:pt idx="23">
                  <c:v>2.832033520703968</c:v>
                </c:pt>
              </c:numCache>
            </c:numRef>
          </c:yVal>
          <c:smooth val="0"/>
          <c:extLst>
            <c:ext xmlns:c16="http://schemas.microsoft.com/office/drawing/2014/chart" uri="{C3380CC4-5D6E-409C-BE32-E72D297353CC}">
              <c16:uniqueId val="{00000000-33F7-4CFB-A1AF-8B8CB8FE6E55}"/>
            </c:ext>
          </c:extLst>
        </c:ser>
        <c:ser>
          <c:idx val="1"/>
          <c:order val="1"/>
          <c:tx>
            <c:strRef>
              <c:f>NASA_2_CORAL!$BX$5</c:f>
              <c:strCache>
                <c:ptCount val="1"/>
                <c:pt idx="0">
                  <c:v> + Eixz [Nm^2]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NASA_2_CORAL!$BX$6:$BX$195</c:f>
              <c:numCache>
                <c:formatCode>0.00E+00</c:formatCode>
                <c:ptCount val="190"/>
                <c:pt idx="0">
                  <c:v>-2656.3442210766771</c:v>
                </c:pt>
                <c:pt idx="1">
                  <c:v>-2606.7936945137649</c:v>
                </c:pt>
                <c:pt idx="2">
                  <c:v>-1676.6128787505556</c:v>
                </c:pt>
                <c:pt idx="3">
                  <c:v>-1506.9086557251217</c:v>
                </c:pt>
                <c:pt idx="4">
                  <c:v>-1036.6657450308605</c:v>
                </c:pt>
                <c:pt idx="5">
                  <c:v>-1105.0230093898713</c:v>
                </c:pt>
                <c:pt idx="6">
                  <c:v>-918.51521711775729</c:v>
                </c:pt>
                <c:pt idx="7">
                  <c:v>-671.58833109910381</c:v>
                </c:pt>
                <c:pt idx="8">
                  <c:v>-228.00245850507741</c:v>
                </c:pt>
                <c:pt idx="9">
                  <c:v>-221.53488509132467</c:v>
                </c:pt>
                <c:pt idx="10">
                  <c:v>-204.35373794155527</c:v>
                </c:pt>
                <c:pt idx="11">
                  <c:v>23.468051724111945</c:v>
                </c:pt>
                <c:pt idx="12">
                  <c:v>138.0174509577754</c:v>
                </c:pt>
                <c:pt idx="13">
                  <c:v>212.19817419674101</c:v>
                </c:pt>
                <c:pt idx="14">
                  <c:v>218.46249560549657</c:v>
                </c:pt>
                <c:pt idx="15">
                  <c:v>282.7156361593436</c:v>
                </c:pt>
                <c:pt idx="16">
                  <c:v>233.83276047939682</c:v>
                </c:pt>
                <c:pt idx="17">
                  <c:v>333.39866110139451</c:v>
                </c:pt>
                <c:pt idx="18">
                  <c:v>335.95743879956217</c:v>
                </c:pt>
                <c:pt idx="19">
                  <c:v>338.98673492825372</c:v>
                </c:pt>
                <c:pt idx="20">
                  <c:v>353.78249466830198</c:v>
                </c:pt>
                <c:pt idx="21">
                  <c:v>107.83689722904504</c:v>
                </c:pt>
                <c:pt idx="22">
                  <c:v>71.851604843252403</c:v>
                </c:pt>
                <c:pt idx="23">
                  <c:v>68.012002852374337</c:v>
                </c:pt>
              </c:numCache>
            </c:numRef>
          </c:yVal>
          <c:smooth val="0"/>
          <c:extLst>
            <c:ext xmlns:c16="http://schemas.microsoft.com/office/drawing/2014/chart" uri="{C3380CC4-5D6E-409C-BE32-E72D297353CC}">
              <c16:uniqueId val="{00000001-33F7-4CFB-A1AF-8B8CB8FE6E55}"/>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NASA_2_CORAL!$BA$5</c:f>
              <c:strCache>
                <c:ptCount val="1"/>
                <c:pt idx="0">
                  <c:v>EAx</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NASA_2_CORAL!$BA$6:$BA$195</c:f>
              <c:numCache>
                <c:formatCode>0.00E+00</c:formatCode>
                <c:ptCount val="190"/>
                <c:pt idx="0">
                  <c:v>-3117.0659278286903</c:v>
                </c:pt>
                <c:pt idx="1">
                  <c:v>-3114.3183719059912</c:v>
                </c:pt>
                <c:pt idx="2">
                  <c:v>27384.824195703874</c:v>
                </c:pt>
                <c:pt idx="3">
                  <c:v>50515.708578185506</c:v>
                </c:pt>
                <c:pt idx="4">
                  <c:v>76410.582182365019</c:v>
                </c:pt>
                <c:pt idx="5">
                  <c:v>31271.453107244892</c:v>
                </c:pt>
                <c:pt idx="6">
                  <c:v>48516.172095760558</c:v>
                </c:pt>
                <c:pt idx="7">
                  <c:v>44682.215463347064</c:v>
                </c:pt>
                <c:pt idx="8">
                  <c:v>46615.026365839411</c:v>
                </c:pt>
                <c:pt idx="9">
                  <c:v>47214.232820681857</c:v>
                </c:pt>
                <c:pt idx="10">
                  <c:v>46455.16831335325</c:v>
                </c:pt>
                <c:pt idx="11">
                  <c:v>44364.718053490418</c:v>
                </c:pt>
                <c:pt idx="12">
                  <c:v>42703.020651017927</c:v>
                </c:pt>
                <c:pt idx="13">
                  <c:v>41801.450741846289</c:v>
                </c:pt>
                <c:pt idx="14">
                  <c:v>41796.364427892608</c:v>
                </c:pt>
                <c:pt idx="15">
                  <c:v>23641.527635769224</c:v>
                </c:pt>
                <c:pt idx="16">
                  <c:v>10052.059982396189</c:v>
                </c:pt>
                <c:pt idx="17">
                  <c:v>8373.6293915268143</c:v>
                </c:pt>
                <c:pt idx="18">
                  <c:v>8099.8364547066994</c:v>
                </c:pt>
                <c:pt idx="19">
                  <c:v>8287.260963540004</c:v>
                </c:pt>
                <c:pt idx="20">
                  <c:v>8418.3932054815814</c:v>
                </c:pt>
                <c:pt idx="21">
                  <c:v>874.40608776048919</c:v>
                </c:pt>
                <c:pt idx="22">
                  <c:v>-607.33080875663791</c:v>
                </c:pt>
                <c:pt idx="23">
                  <c:v>-124.91309741570284</c:v>
                </c:pt>
              </c:numCache>
            </c:numRef>
          </c:yVal>
          <c:smooth val="0"/>
          <c:extLst>
            <c:ext xmlns:c16="http://schemas.microsoft.com/office/drawing/2014/chart" uri="{C3380CC4-5D6E-409C-BE32-E72D297353CC}">
              <c16:uniqueId val="{00000000-32FB-4A87-8760-3830C8E7F202}"/>
            </c:ext>
          </c:extLst>
        </c:ser>
        <c:ser>
          <c:idx val="1"/>
          <c:order val="1"/>
          <c:tx>
            <c:strRef>
              <c:f>NASA_2_CORAL!$BT$5</c:f>
              <c:strCache>
                <c:ptCount val="1"/>
                <c:pt idx="0">
                  <c:v> + EAx [Nm]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NASA_2_CORAL!$BT$6:$BT$195</c:f>
              <c:numCache>
                <c:formatCode>0.00E+00</c:formatCode>
                <c:ptCount val="190"/>
                <c:pt idx="0">
                  <c:v>-2937.6055547441197</c:v>
                </c:pt>
                <c:pt idx="1">
                  <c:v>-2937.6055547441201</c:v>
                </c:pt>
                <c:pt idx="2">
                  <c:v>33353.121529248616</c:v>
                </c:pt>
                <c:pt idx="3">
                  <c:v>55344.488651379208</c:v>
                </c:pt>
                <c:pt idx="4">
                  <c:v>78330.12226896167</c:v>
                </c:pt>
                <c:pt idx="5">
                  <c:v>32870.676309296403</c:v>
                </c:pt>
                <c:pt idx="6">
                  <c:v>50938.080319263026</c:v>
                </c:pt>
                <c:pt idx="7">
                  <c:v>45738.518487365938</c:v>
                </c:pt>
                <c:pt idx="8">
                  <c:v>44891.132269651302</c:v>
                </c:pt>
                <c:pt idx="9">
                  <c:v>45521.587615631004</c:v>
                </c:pt>
                <c:pt idx="10">
                  <c:v>44891.132269651302</c:v>
                </c:pt>
                <c:pt idx="11">
                  <c:v>43193.346905447899</c:v>
                </c:pt>
                <c:pt idx="12">
                  <c:v>41677.843732077337</c:v>
                </c:pt>
                <c:pt idx="13">
                  <c:v>41677.84373207733</c:v>
                </c:pt>
                <c:pt idx="14">
                  <c:v>41776.140533332233</c:v>
                </c:pt>
                <c:pt idx="15">
                  <c:v>25316.887256539645</c:v>
                </c:pt>
                <c:pt idx="16">
                  <c:v>12298.398639765286</c:v>
                </c:pt>
                <c:pt idx="17">
                  <c:v>12298.398639765284</c:v>
                </c:pt>
                <c:pt idx="18">
                  <c:v>12023.845505225743</c:v>
                </c:pt>
                <c:pt idx="19">
                  <c:v>12337.943329925303</c:v>
                </c:pt>
                <c:pt idx="20">
                  <c:v>12731.130534944899</c:v>
                </c:pt>
                <c:pt idx="21">
                  <c:v>3425.1350920026148</c:v>
                </c:pt>
                <c:pt idx="22">
                  <c:v>2153.4908412854975</c:v>
                </c:pt>
                <c:pt idx="23">
                  <c:v>2153.490841285497</c:v>
                </c:pt>
              </c:numCache>
            </c:numRef>
          </c:yVal>
          <c:smooth val="0"/>
          <c:extLst>
            <c:ext xmlns:c16="http://schemas.microsoft.com/office/drawing/2014/chart" uri="{C3380CC4-5D6E-409C-BE32-E72D297353CC}">
              <c16:uniqueId val="{00000001-32FB-4A87-8760-3830C8E7F202}"/>
            </c:ext>
          </c:extLst>
        </c:ser>
        <c:ser>
          <c:idx val="2"/>
          <c:order val="2"/>
          <c:tx>
            <c:strRef>
              <c:f>NASA_2_CORAL!$CF$2</c:f>
              <c:strCache>
                <c:ptCount val="1"/>
                <c:pt idx="0">
                  <c:v>Direct method</c:v>
                </c:pt>
              </c:strCache>
            </c:strRef>
          </c:tx>
          <c:spPr>
            <a:ln w="19050" cap="rnd">
              <a:solidFill>
                <a:srgbClr val="FF0000"/>
              </a:solidFill>
              <a:prstDash val="dash"/>
              <a:round/>
            </a:ln>
            <a:effectLst/>
          </c:spPr>
          <c:marker>
            <c:symbol val="dash"/>
            <c:size val="5"/>
            <c:spPr>
              <a:solidFill>
                <a:srgbClr val="FF0000"/>
              </a:solidFill>
              <a:ln w="9525">
                <a:solidFill>
                  <a:srgbClr val="FF0000"/>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NASA_2_CORAL!$CF$6:$CF$29</c:f>
              <c:numCache>
                <c:formatCode>0.00E+00</c:formatCode>
                <c:ptCount val="24"/>
                <c:pt idx="0">
                  <c:v>-2937.6055547441197</c:v>
                </c:pt>
                <c:pt idx="1">
                  <c:v>-2937.6055547441197</c:v>
                </c:pt>
                <c:pt idx="2">
                  <c:v>33353.121529248616</c:v>
                </c:pt>
                <c:pt idx="3">
                  <c:v>55344.488651379208</c:v>
                </c:pt>
                <c:pt idx="4">
                  <c:v>78330.122268961655</c:v>
                </c:pt>
                <c:pt idx="5">
                  <c:v>32870.67630929641</c:v>
                </c:pt>
                <c:pt idx="6">
                  <c:v>50938.080319263026</c:v>
                </c:pt>
                <c:pt idx="7">
                  <c:v>45738.518487365938</c:v>
                </c:pt>
                <c:pt idx="8">
                  <c:v>44891.132269651302</c:v>
                </c:pt>
                <c:pt idx="9">
                  <c:v>45521.587615630997</c:v>
                </c:pt>
                <c:pt idx="10">
                  <c:v>44891.132269651302</c:v>
                </c:pt>
                <c:pt idx="11">
                  <c:v>43193.346905447899</c:v>
                </c:pt>
                <c:pt idx="12">
                  <c:v>41677.843732077337</c:v>
                </c:pt>
                <c:pt idx="13">
                  <c:v>41677.843732077337</c:v>
                </c:pt>
                <c:pt idx="14">
                  <c:v>41776.140533332233</c:v>
                </c:pt>
                <c:pt idx="15">
                  <c:v>25316.887256539641</c:v>
                </c:pt>
                <c:pt idx="16">
                  <c:v>12298.398639765286</c:v>
                </c:pt>
                <c:pt idx="17">
                  <c:v>12298.398639765286</c:v>
                </c:pt>
                <c:pt idx="18">
                  <c:v>12023.84550522574</c:v>
                </c:pt>
                <c:pt idx="19">
                  <c:v>12337.943329925303</c:v>
                </c:pt>
                <c:pt idx="20">
                  <c:v>12731.130534944899</c:v>
                </c:pt>
                <c:pt idx="21">
                  <c:v>3425.1350920026148</c:v>
                </c:pt>
                <c:pt idx="22">
                  <c:v>2153.490841285497</c:v>
                </c:pt>
                <c:pt idx="23">
                  <c:v>2153.490841285497</c:v>
                </c:pt>
              </c:numCache>
            </c:numRef>
          </c:yVal>
          <c:smooth val="0"/>
          <c:extLst>
            <c:ext xmlns:c16="http://schemas.microsoft.com/office/drawing/2014/chart" uri="{C3380CC4-5D6E-409C-BE32-E72D297353CC}">
              <c16:uniqueId val="{00000000-5A23-4C27-B85D-FBAA49340027}"/>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NASA_2_CORAL!$BB$5</c:f>
              <c:strCache>
                <c:ptCount val="1"/>
                <c:pt idx="0">
                  <c:v>EAz</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NASA_2_CORAL!$BB$6:$BB$195</c:f>
              <c:numCache>
                <c:formatCode>0.00E+00</c:formatCode>
                <c:ptCount val="190"/>
                <c:pt idx="0">
                  <c:v>-1034.7985290136678</c:v>
                </c:pt>
                <c:pt idx="1">
                  <c:v>-1043.0383849543614</c:v>
                </c:pt>
                <c:pt idx="2">
                  <c:v>-47355.147862972379</c:v>
                </c:pt>
                <c:pt idx="3">
                  <c:v>-42669.177787443747</c:v>
                </c:pt>
                <c:pt idx="4">
                  <c:v>-25053.558260975256</c:v>
                </c:pt>
                <c:pt idx="5">
                  <c:v>-20205.986862973947</c:v>
                </c:pt>
                <c:pt idx="6">
                  <c:v>-36744.204796426173</c:v>
                </c:pt>
                <c:pt idx="7">
                  <c:v>-20638.703298038123</c:v>
                </c:pt>
                <c:pt idx="8">
                  <c:v>44210.539479544103</c:v>
                </c:pt>
                <c:pt idx="9">
                  <c:v>44876.601268437371</c:v>
                </c:pt>
                <c:pt idx="10">
                  <c:v>43824.784456433146</c:v>
                </c:pt>
                <c:pt idx="11">
                  <c:v>63310.237517886162</c:v>
                </c:pt>
                <c:pt idx="12">
                  <c:v>83317.218164409918</c:v>
                </c:pt>
                <c:pt idx="13">
                  <c:v>84252.584794376729</c:v>
                </c:pt>
                <c:pt idx="14">
                  <c:v>84502.652063195026</c:v>
                </c:pt>
                <c:pt idx="15">
                  <c:v>91204.212378619399</c:v>
                </c:pt>
                <c:pt idx="16">
                  <c:v>91633.89615189188</c:v>
                </c:pt>
                <c:pt idx="17">
                  <c:v>92152.183776371894</c:v>
                </c:pt>
                <c:pt idx="18">
                  <c:v>94839.779289993836</c:v>
                </c:pt>
                <c:pt idx="19">
                  <c:v>92458.717730497257</c:v>
                </c:pt>
                <c:pt idx="20">
                  <c:v>95256.177155705125</c:v>
                </c:pt>
                <c:pt idx="21">
                  <c:v>43554.789107355238</c:v>
                </c:pt>
                <c:pt idx="22">
                  <c:v>45570.929034010049</c:v>
                </c:pt>
                <c:pt idx="23">
                  <c:v>37317.370209880348</c:v>
                </c:pt>
              </c:numCache>
            </c:numRef>
          </c:yVal>
          <c:smooth val="0"/>
          <c:extLst>
            <c:ext xmlns:c16="http://schemas.microsoft.com/office/drawing/2014/chart" uri="{C3380CC4-5D6E-409C-BE32-E72D297353CC}">
              <c16:uniqueId val="{00000000-A93F-42E5-9365-0A1D88C4711D}"/>
            </c:ext>
          </c:extLst>
        </c:ser>
        <c:ser>
          <c:idx val="1"/>
          <c:order val="1"/>
          <c:tx>
            <c:strRef>
              <c:f>NASA_2_CORAL!$BU$5</c:f>
              <c:strCache>
                <c:ptCount val="1"/>
                <c:pt idx="0">
                  <c:v>EAz [Nm]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NASA_2_CORAL!$BU$6:$BU$195</c:f>
              <c:numCache>
                <c:formatCode>0.00E+00</c:formatCode>
                <c:ptCount val="190"/>
                <c:pt idx="0">
                  <c:v>-1468.8027773720598</c:v>
                </c:pt>
                <c:pt idx="1">
                  <c:v>-1468.8027773720598</c:v>
                </c:pt>
                <c:pt idx="2">
                  <c:v>-43359.057988023196</c:v>
                </c:pt>
                <c:pt idx="3">
                  <c:v>-36186.781041286406</c:v>
                </c:pt>
                <c:pt idx="4">
                  <c:v>-18183.778383866094</c:v>
                </c:pt>
                <c:pt idx="5">
                  <c:v>-17484.40229217894</c:v>
                </c:pt>
                <c:pt idx="6">
                  <c:v>-33305.667901056593</c:v>
                </c:pt>
                <c:pt idx="7">
                  <c:v>-18178.129142414669</c:v>
                </c:pt>
                <c:pt idx="8">
                  <c:v>45959.96875226203</c:v>
                </c:pt>
                <c:pt idx="9">
                  <c:v>46592.683794822304</c:v>
                </c:pt>
                <c:pt idx="10">
                  <c:v>45425.550510956666</c:v>
                </c:pt>
                <c:pt idx="11">
                  <c:v>64115.124312774227</c:v>
                </c:pt>
                <c:pt idx="12">
                  <c:v>83834.74313923603</c:v>
                </c:pt>
                <c:pt idx="13">
                  <c:v>84313.798814317357</c:v>
                </c:pt>
                <c:pt idx="14">
                  <c:v>84512.652113407734</c:v>
                </c:pt>
                <c:pt idx="15">
                  <c:v>90753.431914153043</c:v>
                </c:pt>
                <c:pt idx="16">
                  <c:v>91359.532752542131</c:v>
                </c:pt>
                <c:pt idx="17">
                  <c:v>91710.915570821118</c:v>
                </c:pt>
                <c:pt idx="18">
                  <c:v>94422.551467508019</c:v>
                </c:pt>
                <c:pt idx="19">
                  <c:v>92005.805974585819</c:v>
                </c:pt>
                <c:pt idx="20">
                  <c:v>94776.193982367593</c:v>
                </c:pt>
                <c:pt idx="21">
                  <c:v>43428.708129462415</c:v>
                </c:pt>
                <c:pt idx="22">
                  <c:v>45524.069468035748</c:v>
                </c:pt>
                <c:pt idx="23">
                  <c:v>37255.391554239104</c:v>
                </c:pt>
              </c:numCache>
            </c:numRef>
          </c:yVal>
          <c:smooth val="0"/>
          <c:extLst>
            <c:ext xmlns:c16="http://schemas.microsoft.com/office/drawing/2014/chart" uri="{C3380CC4-5D6E-409C-BE32-E72D297353CC}">
              <c16:uniqueId val="{00000001-A93F-42E5-9365-0A1D88C4711D}"/>
            </c:ext>
          </c:extLst>
        </c:ser>
        <c:ser>
          <c:idx val="2"/>
          <c:order val="2"/>
          <c:tx>
            <c:strRef>
              <c:f>NASA_2_CORAL!$CF$2</c:f>
              <c:strCache>
                <c:ptCount val="1"/>
                <c:pt idx="0">
                  <c:v>Direct method</c:v>
                </c:pt>
              </c:strCache>
            </c:strRef>
          </c:tx>
          <c:spPr>
            <a:ln w="19050" cap="rnd">
              <a:solidFill>
                <a:srgbClr val="FF0000"/>
              </a:solidFill>
              <a:prstDash val="dash"/>
              <a:round/>
            </a:ln>
            <a:effectLst/>
          </c:spPr>
          <c:marker>
            <c:symbol val="circle"/>
            <c:size val="5"/>
            <c:spPr>
              <a:solidFill>
                <a:srgbClr val="FF0000"/>
              </a:solidFill>
              <a:ln w="9525">
                <a:solidFill>
                  <a:srgbClr val="FF0000"/>
                </a:solidFill>
              </a:ln>
              <a:effectLst/>
            </c:spPr>
          </c:marker>
          <c:dPt>
            <c:idx val="16"/>
            <c:marker>
              <c:symbol val="dash"/>
              <c:size val="5"/>
              <c:spPr>
                <a:solidFill>
                  <a:srgbClr val="FF0000"/>
                </a:solidFill>
                <a:ln w="9525">
                  <a:solidFill>
                    <a:srgbClr val="FF0000"/>
                  </a:solidFill>
                </a:ln>
                <a:effectLst/>
              </c:spPr>
            </c:marker>
            <c:bubble3D val="0"/>
            <c:extLst>
              <c:ext xmlns:c16="http://schemas.microsoft.com/office/drawing/2014/chart" uri="{C3380CC4-5D6E-409C-BE32-E72D297353CC}">
                <c16:uniqueId val="{00000001-F6AC-4C22-A628-4F6C7340431F}"/>
              </c:ext>
            </c:extLst>
          </c:dPt>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NASA_2_CORAL!$CG$6:$CG$29</c:f>
              <c:numCache>
                <c:formatCode>0.00E+00</c:formatCode>
                <c:ptCount val="24"/>
                <c:pt idx="0">
                  <c:v>-1468.8027773720598</c:v>
                </c:pt>
                <c:pt idx="1">
                  <c:v>-1468.8027773720598</c:v>
                </c:pt>
                <c:pt idx="2">
                  <c:v>-43359.057988023196</c:v>
                </c:pt>
                <c:pt idx="3">
                  <c:v>-36186.781041286406</c:v>
                </c:pt>
                <c:pt idx="4">
                  <c:v>-18183.778383866098</c:v>
                </c:pt>
                <c:pt idx="5">
                  <c:v>-17484.402292178944</c:v>
                </c:pt>
                <c:pt idx="6">
                  <c:v>-33305.6679010566</c:v>
                </c:pt>
                <c:pt idx="7">
                  <c:v>-18178.129142414669</c:v>
                </c:pt>
                <c:pt idx="8">
                  <c:v>45959.96875226203</c:v>
                </c:pt>
                <c:pt idx="9">
                  <c:v>46592.683794822304</c:v>
                </c:pt>
                <c:pt idx="10">
                  <c:v>45425.550510956666</c:v>
                </c:pt>
                <c:pt idx="11">
                  <c:v>64115.124312774227</c:v>
                </c:pt>
                <c:pt idx="12">
                  <c:v>83834.74313923603</c:v>
                </c:pt>
                <c:pt idx="13">
                  <c:v>84313.798814317372</c:v>
                </c:pt>
                <c:pt idx="14">
                  <c:v>84512.652113407748</c:v>
                </c:pt>
                <c:pt idx="15">
                  <c:v>90753.431914153043</c:v>
                </c:pt>
                <c:pt idx="16">
                  <c:v>91359.532752542116</c:v>
                </c:pt>
                <c:pt idx="17">
                  <c:v>91710.915570821118</c:v>
                </c:pt>
                <c:pt idx="18">
                  <c:v>94422.551467508019</c:v>
                </c:pt>
                <c:pt idx="19">
                  <c:v>92005.805974585834</c:v>
                </c:pt>
                <c:pt idx="20">
                  <c:v>94776.193982367593</c:v>
                </c:pt>
                <c:pt idx="21">
                  <c:v>265994.53374062863</c:v>
                </c:pt>
                <c:pt idx="22">
                  <c:v>243021.44143906835</c:v>
                </c:pt>
                <c:pt idx="23">
                  <c:v>243021.44143906835</c:v>
                </c:pt>
              </c:numCache>
            </c:numRef>
          </c:yVal>
          <c:smooth val="0"/>
          <c:extLst>
            <c:ext xmlns:c16="http://schemas.microsoft.com/office/drawing/2014/chart" uri="{C3380CC4-5D6E-409C-BE32-E72D297353CC}">
              <c16:uniqueId val="{00000000-F6AC-4C22-A628-4F6C7340431F}"/>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NASA_2_CORAL!$AS$5</c:f>
              <c:strCache>
                <c:ptCount val="1"/>
                <c:pt idx="0">
                  <c:v>GAx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NASA_2_CORAL!$AS$6:$AS$195</c:f>
              <c:numCache>
                <c:formatCode>0.00E+00</c:formatCode>
                <c:ptCount val="190"/>
                <c:pt idx="0">
                  <c:v>1819921.1462768631</c:v>
                </c:pt>
                <c:pt idx="1">
                  <c:v>1819921.1462768631</c:v>
                </c:pt>
                <c:pt idx="2">
                  <c:v>1384559.398373886</c:v>
                </c:pt>
                <c:pt idx="3">
                  <c:v>1175276.3655108653</c:v>
                </c:pt>
                <c:pt idx="4">
                  <c:v>949651.43461089395</c:v>
                </c:pt>
                <c:pt idx="5">
                  <c:v>942367.9231704633</c:v>
                </c:pt>
                <c:pt idx="6">
                  <c:v>1123420.7285616733</c:v>
                </c:pt>
                <c:pt idx="7">
                  <c:v>1104417.1464249177</c:v>
                </c:pt>
                <c:pt idx="8">
                  <c:v>679627.88848215656</c:v>
                </c:pt>
                <c:pt idx="9">
                  <c:v>686635.12341257371</c:v>
                </c:pt>
                <c:pt idx="10">
                  <c:v>683864.07959572424</c:v>
                </c:pt>
                <c:pt idx="11">
                  <c:v>547257.66003140493</c:v>
                </c:pt>
                <c:pt idx="12">
                  <c:v>426022.82701807201</c:v>
                </c:pt>
                <c:pt idx="13">
                  <c:v>424154.06429390883</c:v>
                </c:pt>
                <c:pt idx="14">
                  <c:v>427168.46501789422</c:v>
                </c:pt>
                <c:pt idx="15">
                  <c:v>275234.98361815989</c:v>
                </c:pt>
                <c:pt idx="16">
                  <c:v>170628.3720063846</c:v>
                </c:pt>
                <c:pt idx="17">
                  <c:v>169724.73877735157</c:v>
                </c:pt>
                <c:pt idx="18">
                  <c:v>169466.56852433539</c:v>
                </c:pt>
                <c:pt idx="19">
                  <c:v>171741.84565500569</c:v>
                </c:pt>
                <c:pt idx="20">
                  <c:v>169365.25511221285</c:v>
                </c:pt>
                <c:pt idx="21">
                  <c:v>40083.009752573809</c:v>
                </c:pt>
                <c:pt idx="22">
                  <c:v>35649.4398802863</c:v>
                </c:pt>
                <c:pt idx="23">
                  <c:v>35649.4398802863</c:v>
                </c:pt>
              </c:numCache>
            </c:numRef>
          </c:yVal>
          <c:smooth val="0"/>
          <c:extLst>
            <c:ext xmlns:c16="http://schemas.microsoft.com/office/drawing/2014/chart" uri="{C3380CC4-5D6E-409C-BE32-E72D297353CC}">
              <c16:uniqueId val="{00000000-F758-4FF4-9474-4B2858A5E799}"/>
            </c:ext>
          </c:extLst>
        </c:ser>
        <c:ser>
          <c:idx val="1"/>
          <c:order val="1"/>
          <c:tx>
            <c:strRef>
              <c:f>NASA_2_CORAL!$BZ$5</c:f>
              <c:strCache>
                <c:ptCount val="1"/>
                <c:pt idx="0">
                  <c:v>GxA [N]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NASA_2_CORAL!$BZ$6:$BZ$195</c:f>
              <c:numCache>
                <c:formatCode>0.00E+00</c:formatCode>
                <c:ptCount val="190"/>
                <c:pt idx="0">
                  <c:v>1815665.6659267189</c:v>
                </c:pt>
                <c:pt idx="1">
                  <c:v>1815820.4587036716</c:v>
                </c:pt>
                <c:pt idx="2">
                  <c:v>1381827.5855330895</c:v>
                </c:pt>
                <c:pt idx="3">
                  <c:v>1173265.2564012944</c:v>
                </c:pt>
                <c:pt idx="4">
                  <c:v>948794.25623392547</c:v>
                </c:pt>
                <c:pt idx="5">
                  <c:v>941590.68200113752</c:v>
                </c:pt>
                <c:pt idx="6">
                  <c:v>1122804.7775491604</c:v>
                </c:pt>
                <c:pt idx="7">
                  <c:v>1104041.6828852161</c:v>
                </c:pt>
                <c:pt idx="8">
                  <c:v>679513.76194358338</c:v>
                </c:pt>
                <c:pt idx="9">
                  <c:v>686527.09184728761</c:v>
                </c:pt>
                <c:pt idx="10">
                  <c:v>683767.58174566727</c:v>
                </c:pt>
                <c:pt idx="11">
                  <c:v>547236.40134202619</c:v>
                </c:pt>
                <c:pt idx="12">
                  <c:v>426015.45959478826</c:v>
                </c:pt>
                <c:pt idx="13">
                  <c:v>424153.95943431626</c:v>
                </c:pt>
                <c:pt idx="14">
                  <c:v>427168.46220588055</c:v>
                </c:pt>
                <c:pt idx="15">
                  <c:v>275224.25741011102</c:v>
                </c:pt>
                <c:pt idx="16">
                  <c:v>170616.55409901691</c:v>
                </c:pt>
                <c:pt idx="17">
                  <c:v>169689.21416881369</c:v>
                </c:pt>
                <c:pt idx="18">
                  <c:v>169433.10411903265</c:v>
                </c:pt>
                <c:pt idx="19">
                  <c:v>171703.80668072865</c:v>
                </c:pt>
                <c:pt idx="20">
                  <c:v>169325.18978928958</c:v>
                </c:pt>
                <c:pt idx="21">
                  <c:v>40067.189646763836</c:v>
                </c:pt>
                <c:pt idx="22">
                  <c:v>35634.412487474066</c:v>
                </c:pt>
                <c:pt idx="23">
                  <c:v>35634.168298738048</c:v>
                </c:pt>
              </c:numCache>
            </c:numRef>
          </c:yVal>
          <c:smooth val="0"/>
          <c:extLst>
            <c:ext xmlns:c16="http://schemas.microsoft.com/office/drawing/2014/chart" uri="{C3380CC4-5D6E-409C-BE32-E72D297353CC}">
              <c16:uniqueId val="{00000001-F758-4FF4-9474-4B2858A5E799}"/>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NASA_2_CORAL!$AT$5</c:f>
              <c:strCache>
                <c:ptCount val="1"/>
                <c:pt idx="0">
                  <c:v>GAz</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NASA_2_CORAL!$AT$6:$AT$195</c:f>
              <c:numCache>
                <c:formatCode>0.00E+00</c:formatCode>
                <c:ptCount val="190"/>
                <c:pt idx="0">
                  <c:v>1610734.8076243501</c:v>
                </c:pt>
                <c:pt idx="1">
                  <c:v>1610734.8076243501</c:v>
                </c:pt>
                <c:pt idx="2">
                  <c:v>1225414.6399401061</c:v>
                </c:pt>
                <c:pt idx="3">
                  <c:v>1040187.1280958235</c:v>
                </c:pt>
                <c:pt idx="4">
                  <c:v>840496.09729929699</c:v>
                </c:pt>
                <c:pt idx="5">
                  <c:v>834049.7710819043</c:v>
                </c:pt>
                <c:pt idx="6">
                  <c:v>994291.90918676846</c:v>
                </c:pt>
                <c:pt idx="7">
                  <c:v>977472.64683584671</c:v>
                </c:pt>
                <c:pt idx="8">
                  <c:v>601509.74038075923</c:v>
                </c:pt>
                <c:pt idx="9">
                  <c:v>607711.54600882961</c:v>
                </c:pt>
                <c:pt idx="10">
                  <c:v>605259.01297552616</c:v>
                </c:pt>
                <c:pt idx="11">
                  <c:v>484354.48071745038</c:v>
                </c:pt>
                <c:pt idx="12">
                  <c:v>377054.68598151201</c:v>
                </c:pt>
                <c:pt idx="13">
                  <c:v>375400.72357047105</c:v>
                </c:pt>
                <c:pt idx="14">
                  <c:v>378068.64145261905</c:v>
                </c:pt>
                <c:pt idx="15">
                  <c:v>243598.77860457831</c:v>
                </c:pt>
                <c:pt idx="16">
                  <c:v>151015.9154539266</c:v>
                </c:pt>
                <c:pt idx="17">
                  <c:v>150216.14811328819</c:v>
                </c:pt>
                <c:pt idx="18">
                  <c:v>149987.65260199798</c:v>
                </c:pt>
                <c:pt idx="19">
                  <c:v>152001.40362569469</c:v>
                </c:pt>
                <c:pt idx="20">
                  <c:v>149897.98440965964</c:v>
                </c:pt>
                <c:pt idx="21">
                  <c:v>35475.767252277969</c:v>
                </c:pt>
                <c:pt idx="22">
                  <c:v>31551.803112437301</c:v>
                </c:pt>
                <c:pt idx="23">
                  <c:v>31551.803112437301</c:v>
                </c:pt>
              </c:numCache>
            </c:numRef>
          </c:yVal>
          <c:smooth val="0"/>
          <c:extLst>
            <c:ext xmlns:c16="http://schemas.microsoft.com/office/drawing/2014/chart" uri="{C3380CC4-5D6E-409C-BE32-E72D297353CC}">
              <c16:uniqueId val="{00000000-D819-494E-89B9-AD161A833AAB}"/>
            </c:ext>
          </c:extLst>
        </c:ser>
        <c:ser>
          <c:idx val="1"/>
          <c:order val="1"/>
          <c:tx>
            <c:strRef>
              <c:f>NASA_2_CORAL!$CA$5</c:f>
              <c:strCache>
                <c:ptCount val="1"/>
                <c:pt idx="0">
                  <c:v>GzA [N]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NASA_2_CORAL!$CA$6:$CA$195</c:f>
              <c:numCache>
                <c:formatCode>0.00E+00</c:formatCode>
                <c:ptCount val="190"/>
                <c:pt idx="0">
                  <c:v>1614990.2879744943</c:v>
                </c:pt>
                <c:pt idx="1">
                  <c:v>1614835.4951975415</c:v>
                </c:pt>
                <c:pt idx="2">
                  <c:v>1228146.4527809029</c:v>
                </c:pt>
                <c:pt idx="3">
                  <c:v>1042198.2372053947</c:v>
                </c:pt>
                <c:pt idx="4">
                  <c:v>841353.27567626536</c:v>
                </c:pt>
                <c:pt idx="5">
                  <c:v>834827.01225123007</c:v>
                </c:pt>
                <c:pt idx="6">
                  <c:v>994907.86019928113</c:v>
                </c:pt>
                <c:pt idx="7">
                  <c:v>977848.11037554813</c:v>
                </c:pt>
                <c:pt idx="8">
                  <c:v>601623.86691933242</c:v>
                </c:pt>
                <c:pt idx="9">
                  <c:v>607819.5775741156</c:v>
                </c:pt>
                <c:pt idx="10">
                  <c:v>605355.51082558313</c:v>
                </c:pt>
                <c:pt idx="11">
                  <c:v>484375.73940682918</c:v>
                </c:pt>
                <c:pt idx="12">
                  <c:v>377062.0534047957</c:v>
                </c:pt>
                <c:pt idx="13">
                  <c:v>375400.82843006356</c:v>
                </c:pt>
                <c:pt idx="14">
                  <c:v>378068.64426463272</c:v>
                </c:pt>
                <c:pt idx="15">
                  <c:v>243609.50481262722</c:v>
                </c:pt>
                <c:pt idx="16">
                  <c:v>151027.73336129429</c:v>
                </c:pt>
                <c:pt idx="17">
                  <c:v>150251.67272182609</c:v>
                </c:pt>
                <c:pt idx="18">
                  <c:v>150021.11700730069</c:v>
                </c:pt>
                <c:pt idx="19">
                  <c:v>152039.44259997169</c:v>
                </c:pt>
                <c:pt idx="20">
                  <c:v>149938.04973258291</c:v>
                </c:pt>
                <c:pt idx="21">
                  <c:v>35491.587358087949</c:v>
                </c:pt>
                <c:pt idx="22">
                  <c:v>31566.830505249527</c:v>
                </c:pt>
                <c:pt idx="23">
                  <c:v>31567.074693985542</c:v>
                </c:pt>
              </c:numCache>
            </c:numRef>
          </c:yVal>
          <c:smooth val="0"/>
          <c:extLst>
            <c:ext xmlns:c16="http://schemas.microsoft.com/office/drawing/2014/chart" uri="{C3380CC4-5D6E-409C-BE32-E72D297353CC}">
              <c16:uniqueId val="{00000001-D819-494E-89B9-AD161A833AAB}"/>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NASA_2_CORAL!$BC$5</c:f>
              <c:strCache>
                <c:ptCount val="1"/>
                <c:pt idx="0">
                  <c:v>GAxX</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NASA_2_CORAL!$BC$6:$BC$195</c:f>
              <c:numCache>
                <c:formatCode>0.00E+00</c:formatCode>
                <c:ptCount val="190"/>
                <c:pt idx="0">
                  <c:v>1386.3726324505205</c:v>
                </c:pt>
                <c:pt idx="1">
                  <c:v>1371.2099418793712</c:v>
                </c:pt>
                <c:pt idx="2">
                  <c:v>1873.4766687512667</c:v>
                </c:pt>
                <c:pt idx="3">
                  <c:v>3431.3583652242537</c:v>
                </c:pt>
                <c:pt idx="4">
                  <c:v>3392.6569860448608</c:v>
                </c:pt>
                <c:pt idx="5">
                  <c:v>2350.8163769963367</c:v>
                </c:pt>
                <c:pt idx="6">
                  <c:v>3281.7782711138193</c:v>
                </c:pt>
                <c:pt idx="7">
                  <c:v>3198.2205793688954</c:v>
                </c:pt>
                <c:pt idx="8">
                  <c:v>2044.3506503943343</c:v>
                </c:pt>
                <c:pt idx="9">
                  <c:v>2150.142548808652</c:v>
                </c:pt>
                <c:pt idx="10">
                  <c:v>2052.0138415200072</c:v>
                </c:pt>
                <c:pt idx="11">
                  <c:v>1590.3588880792393</c:v>
                </c:pt>
                <c:pt idx="12">
                  <c:v>1205.6094425376007</c:v>
                </c:pt>
                <c:pt idx="13">
                  <c:v>1167.9779999232583</c:v>
                </c:pt>
                <c:pt idx="14">
                  <c:v>1194.2356993886274</c:v>
                </c:pt>
                <c:pt idx="15">
                  <c:v>519.29899638410757</c:v>
                </c:pt>
                <c:pt idx="16">
                  <c:v>230.77997757246436</c:v>
                </c:pt>
                <c:pt idx="17">
                  <c:v>200.10860538805665</c:v>
                </c:pt>
                <c:pt idx="18">
                  <c:v>178.91389247979725</c:v>
                </c:pt>
                <c:pt idx="19">
                  <c:v>203.03163611856192</c:v>
                </c:pt>
                <c:pt idx="20">
                  <c:v>216.49670510322179</c:v>
                </c:pt>
                <c:pt idx="21">
                  <c:v>30.889171855303974</c:v>
                </c:pt>
                <c:pt idx="22">
                  <c:v>2.5619683850936421</c:v>
                </c:pt>
                <c:pt idx="23">
                  <c:v>6.6222238037848848</c:v>
                </c:pt>
              </c:numCache>
            </c:numRef>
          </c:yVal>
          <c:smooth val="0"/>
          <c:extLst>
            <c:ext xmlns:c16="http://schemas.microsoft.com/office/drawing/2014/chart" uri="{C3380CC4-5D6E-409C-BE32-E72D297353CC}">
              <c16:uniqueId val="{00000000-2266-4B51-8C48-75A6E59AF530}"/>
            </c:ext>
          </c:extLst>
        </c:ser>
        <c:ser>
          <c:idx val="1"/>
          <c:order val="1"/>
          <c:tx>
            <c:strRef>
              <c:f>NASA_2_CORAL!$CB$5</c:f>
              <c:strCache>
                <c:ptCount val="1"/>
                <c:pt idx="0">
                  <c:v>GxAX [Nm]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NASA_2_CORAL!$CB$6:$CB$195</c:f>
              <c:numCache>
                <c:formatCode>0.00E+00</c:formatCode>
                <c:ptCount val="190"/>
                <c:pt idx="0">
                  <c:v>648.6759554306359</c:v>
                </c:pt>
                <c:pt idx="1">
                  <c:v>647.00984093069474</c:v>
                </c:pt>
                <c:pt idx="2">
                  <c:v>1894.2646287157324</c:v>
                </c:pt>
                <c:pt idx="3">
                  <c:v>3350.5865053027014</c:v>
                </c:pt>
                <c:pt idx="4">
                  <c:v>3249.138924888</c:v>
                </c:pt>
                <c:pt idx="5">
                  <c:v>2197.0602276287832</c:v>
                </c:pt>
                <c:pt idx="6">
                  <c:v>3230.131786081849</c:v>
                </c:pt>
                <c:pt idx="7">
                  <c:v>3147.7817019303116</c:v>
                </c:pt>
                <c:pt idx="8">
                  <c:v>1976.5427260571666</c:v>
                </c:pt>
                <c:pt idx="9">
                  <c:v>2083.8425366765955</c:v>
                </c:pt>
                <c:pt idx="10">
                  <c:v>1988.3068369359223</c:v>
                </c:pt>
                <c:pt idx="11">
                  <c:v>1556.5597389690017</c:v>
                </c:pt>
                <c:pt idx="12">
                  <c:v>1172.901787585233</c:v>
                </c:pt>
                <c:pt idx="13">
                  <c:v>1164.0494653431338</c:v>
                </c:pt>
                <c:pt idx="14">
                  <c:v>1193.5922514819365</c:v>
                </c:pt>
                <c:pt idx="15">
                  <c:v>544.35978996201709</c:v>
                </c:pt>
                <c:pt idx="16">
                  <c:v>260.50250036711242</c:v>
                </c:pt>
                <c:pt idx="17">
                  <c:v>251.90944722210946</c:v>
                </c:pt>
                <c:pt idx="18">
                  <c:v>230.079893339227</c:v>
                </c:pt>
                <c:pt idx="19">
                  <c:v>258.82544894085675</c:v>
                </c:pt>
                <c:pt idx="20">
                  <c:v>276.14803921463852</c:v>
                </c:pt>
                <c:pt idx="21">
                  <c:v>34.181251156393245</c:v>
                </c:pt>
                <c:pt idx="22">
                  <c:v>22.733581026010782</c:v>
                </c:pt>
                <c:pt idx="23">
                  <c:v>23.199397778334983</c:v>
                </c:pt>
              </c:numCache>
            </c:numRef>
          </c:yVal>
          <c:smooth val="0"/>
          <c:extLst>
            <c:ext xmlns:c16="http://schemas.microsoft.com/office/drawing/2014/chart" uri="{C3380CC4-5D6E-409C-BE32-E72D297353CC}">
              <c16:uniqueId val="{00000001-2266-4B51-8C48-75A6E59AF530}"/>
            </c:ext>
          </c:extLst>
        </c:ser>
        <c:ser>
          <c:idx val="2"/>
          <c:order val="2"/>
          <c:tx>
            <c:strRef>
              <c:f>NASA_2_CORAL!$CF$2</c:f>
              <c:strCache>
                <c:ptCount val="1"/>
                <c:pt idx="0">
                  <c:v>Direct method</c:v>
                </c:pt>
              </c:strCache>
            </c:strRef>
          </c:tx>
          <c:spPr>
            <a:ln w="19050" cap="rnd">
              <a:solidFill>
                <a:srgbClr val="FF0000"/>
              </a:solidFill>
              <a:prstDash val="sysDash"/>
              <a:round/>
            </a:ln>
            <a:effectLst/>
          </c:spPr>
          <c:marker>
            <c:symbol val="dash"/>
            <c:size val="5"/>
            <c:spPr>
              <a:solidFill>
                <a:schemeClr val="accent3"/>
              </a:solidFill>
              <a:ln w="9525">
                <a:solidFill>
                  <a:srgbClr val="FF0000"/>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NASA_2_CORAL!$CH$6:$CH$195</c:f>
              <c:numCache>
                <c:formatCode>0.00E+00</c:formatCode>
                <c:ptCount val="190"/>
                <c:pt idx="0">
                  <c:v>553.41489497446389</c:v>
                </c:pt>
                <c:pt idx="1">
                  <c:v>553.46207581287911</c:v>
                </c:pt>
                <c:pt idx="2">
                  <c:v>1895.3147163171855</c:v>
                </c:pt>
                <c:pt idx="3">
                  <c:v>3337.705001410402</c:v>
                </c:pt>
                <c:pt idx="4">
                  <c:v>3229.3161305177887</c:v>
                </c:pt>
                <c:pt idx="5">
                  <c:v>2176.392702377429</c:v>
                </c:pt>
                <c:pt idx="6">
                  <c:v>3222.6742725216</c:v>
                </c:pt>
                <c:pt idx="7">
                  <c:v>3140.7777794718622</c:v>
                </c:pt>
                <c:pt idx="8">
                  <c:v>1967.6000490838401</c:v>
                </c:pt>
                <c:pt idx="9">
                  <c:v>2075.0967878176116</c:v>
                </c:pt>
                <c:pt idx="10">
                  <c:v>1979.9174097027542</c:v>
                </c:pt>
                <c:pt idx="11">
                  <c:v>1552.1448463397671</c:v>
                </c:pt>
                <c:pt idx="12">
                  <c:v>1168.6456087604231</c:v>
                </c:pt>
                <c:pt idx="13">
                  <c:v>1163.5391415202164</c:v>
                </c:pt>
                <c:pt idx="14">
                  <c:v>1193.5086834032302</c:v>
                </c:pt>
                <c:pt idx="15">
                  <c:v>547.60453082698416</c:v>
                </c:pt>
                <c:pt idx="16">
                  <c:v>264.35328892101677</c:v>
                </c:pt>
                <c:pt idx="17">
                  <c:v>258.60636239327204</c:v>
                </c:pt>
                <c:pt idx="18">
                  <c:v>236.69804645428863</c:v>
                </c:pt>
                <c:pt idx="19">
                  <c:v>266.03787807112093</c:v>
                </c:pt>
                <c:pt idx="20">
                  <c:v>283.85674816276503</c:v>
                </c:pt>
                <c:pt idx="21">
                  <c:v>34.602024978945252</c:v>
                </c:pt>
                <c:pt idx="22">
                  <c:v>25.343194161091553</c:v>
                </c:pt>
                <c:pt idx="23">
                  <c:v>25.343020494062497</c:v>
                </c:pt>
              </c:numCache>
            </c:numRef>
          </c:yVal>
          <c:smooth val="0"/>
          <c:extLst>
            <c:ext xmlns:c16="http://schemas.microsoft.com/office/drawing/2014/chart" uri="{C3380CC4-5D6E-409C-BE32-E72D297353CC}">
              <c16:uniqueId val="{00000000-24D8-4A61-8DD6-47DD74743BCA}"/>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NASA_2_CORAL!$BD$5</c:f>
              <c:strCache>
                <c:ptCount val="1"/>
                <c:pt idx="0">
                  <c:v>GAzZ</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NASA_2_CORAL!$BD$6:$BD$195</c:f>
              <c:numCache>
                <c:formatCode>0.00E+00</c:formatCode>
                <c:ptCount val="190"/>
                <c:pt idx="0">
                  <c:v>5072.7626194262893</c:v>
                </c:pt>
                <c:pt idx="1">
                  <c:v>5075.9898877977312</c:v>
                </c:pt>
                <c:pt idx="2">
                  <c:v>-281.92588551385296</c:v>
                </c:pt>
                <c:pt idx="3">
                  <c:v>451.87107729395524</c:v>
                </c:pt>
                <c:pt idx="4">
                  <c:v>1468.9281188074392</c:v>
                </c:pt>
                <c:pt idx="5">
                  <c:v>1715.3730914827881</c:v>
                </c:pt>
                <c:pt idx="6">
                  <c:v>634.32495955482375</c:v>
                </c:pt>
                <c:pt idx="7">
                  <c:v>840.41408064834695</c:v>
                </c:pt>
                <c:pt idx="8">
                  <c:v>1734.9545111899579</c:v>
                </c:pt>
                <c:pt idx="9">
                  <c:v>1752.2265276089179</c:v>
                </c:pt>
                <c:pt idx="10">
                  <c:v>1782.2903769299116</c:v>
                </c:pt>
                <c:pt idx="11">
                  <c:v>1823.9235867925054</c:v>
                </c:pt>
                <c:pt idx="12">
                  <c:v>2659.147608420004</c:v>
                </c:pt>
                <c:pt idx="13">
                  <c:v>2677.8719734104834</c:v>
                </c:pt>
                <c:pt idx="14">
                  <c:v>2688.5713075693907</c:v>
                </c:pt>
                <c:pt idx="15">
                  <c:v>1365.7995042380107</c:v>
                </c:pt>
                <c:pt idx="16">
                  <c:v>1213.6579319951613</c:v>
                </c:pt>
                <c:pt idx="17">
                  <c:v>1218.177708530681</c:v>
                </c:pt>
                <c:pt idx="18">
                  <c:v>1238.1560578458232</c:v>
                </c:pt>
                <c:pt idx="19">
                  <c:v>1275.471652837899</c:v>
                </c:pt>
                <c:pt idx="20">
                  <c:v>1319.8001566228697</c:v>
                </c:pt>
                <c:pt idx="21">
                  <c:v>57.086371753777556</c:v>
                </c:pt>
                <c:pt idx="22">
                  <c:v>333.17066358478831</c:v>
                </c:pt>
                <c:pt idx="23">
                  <c:v>271.74320439504612</c:v>
                </c:pt>
              </c:numCache>
            </c:numRef>
          </c:yVal>
          <c:smooth val="0"/>
          <c:extLst>
            <c:ext xmlns:c16="http://schemas.microsoft.com/office/drawing/2014/chart" uri="{C3380CC4-5D6E-409C-BE32-E72D297353CC}">
              <c16:uniqueId val="{00000000-1A75-4B70-B6FA-05A004DBF4E5}"/>
            </c:ext>
          </c:extLst>
        </c:ser>
        <c:ser>
          <c:idx val="1"/>
          <c:order val="1"/>
          <c:tx>
            <c:strRef>
              <c:f>NASA_2_CORAL!$CC$5</c:f>
              <c:strCache>
                <c:ptCount val="1"/>
                <c:pt idx="0">
                  <c:v> + GzAZ [Nm]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NASA_2_CORAL!$CC$6:$CC$195</c:f>
              <c:numCache>
                <c:formatCode>0.00E+00</c:formatCode>
                <c:ptCount val="190"/>
                <c:pt idx="0">
                  <c:v>5218.6367160305972</c:v>
                </c:pt>
                <c:pt idx="1">
                  <c:v>5217.975499316999</c:v>
                </c:pt>
                <c:pt idx="2">
                  <c:v>-34.037474562042604</c:v>
                </c:pt>
                <c:pt idx="3">
                  <c:v>867.1665189412555</c:v>
                </c:pt>
                <c:pt idx="4">
                  <c:v>1763.7934941369442</c:v>
                </c:pt>
                <c:pt idx="5">
                  <c:v>1908.3419079161781</c:v>
                </c:pt>
                <c:pt idx="6">
                  <c:v>859.46810273140488</c:v>
                </c:pt>
                <c:pt idx="7">
                  <c:v>1013.1046630252132</c:v>
                </c:pt>
                <c:pt idx="8">
                  <c:v>1811.8265893116336</c:v>
                </c:pt>
                <c:pt idx="9">
                  <c:v>1830.5767032798772</c:v>
                </c:pt>
                <c:pt idx="10">
                  <c:v>1853.0935528678876</c:v>
                </c:pt>
                <c:pt idx="11">
                  <c:v>1852.8519699024596</c:v>
                </c:pt>
                <c:pt idx="12">
                  <c:v>2673.7355007519004</c:v>
                </c:pt>
                <c:pt idx="13">
                  <c:v>2679.5820115302417</c:v>
                </c:pt>
                <c:pt idx="14">
                  <c:v>2688.8570283267031</c:v>
                </c:pt>
                <c:pt idx="15">
                  <c:v>1356.0059559215977</c:v>
                </c:pt>
                <c:pt idx="16">
                  <c:v>1207.6271863640704</c:v>
                </c:pt>
                <c:pt idx="17">
                  <c:v>1208.5288634996125</c:v>
                </c:pt>
                <c:pt idx="18">
                  <c:v>1229.6763180543048</c:v>
                </c:pt>
                <c:pt idx="19">
                  <c:v>1265.3296682835607</c:v>
                </c:pt>
                <c:pt idx="20">
                  <c:v>1308.6197068591828</c:v>
                </c:pt>
                <c:pt idx="21">
                  <c:v>55.178228018853233</c:v>
                </c:pt>
                <c:pt idx="22">
                  <c:v>332.40402983307558</c:v>
                </c:pt>
                <c:pt idx="23">
                  <c:v>270.83207144966752</c:v>
                </c:pt>
              </c:numCache>
            </c:numRef>
          </c:yVal>
          <c:smooth val="0"/>
          <c:extLst>
            <c:ext xmlns:c16="http://schemas.microsoft.com/office/drawing/2014/chart" uri="{C3380CC4-5D6E-409C-BE32-E72D297353CC}">
              <c16:uniqueId val="{00000001-1A75-4B70-B6FA-05A004DBF4E5}"/>
            </c:ext>
          </c:extLst>
        </c:ser>
        <c:ser>
          <c:idx val="2"/>
          <c:order val="2"/>
          <c:tx>
            <c:strRef>
              <c:f>NASA_2_CORAL!$CF$2</c:f>
              <c:strCache>
                <c:ptCount val="1"/>
                <c:pt idx="0">
                  <c:v>Direct method</c:v>
                </c:pt>
              </c:strCache>
            </c:strRef>
          </c:tx>
          <c:spPr>
            <a:ln w="19050" cap="rnd">
              <a:solidFill>
                <a:srgbClr val="FF0000"/>
              </a:solidFill>
              <a:prstDash val="dash"/>
              <a:round/>
            </a:ln>
            <a:effectLst/>
          </c:spPr>
          <c:marker>
            <c:symbol val="dash"/>
            <c:size val="5"/>
            <c:spPr>
              <a:solidFill>
                <a:srgbClr val="FF0000"/>
              </a:solidFill>
              <a:ln w="9525">
                <a:solidFill>
                  <a:srgbClr val="FF0000"/>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NASA_2_CORAL!$CI$6:$CI$29</c:f>
              <c:numCache>
                <c:formatCode>0.00E+00</c:formatCode>
                <c:ptCount val="24"/>
                <c:pt idx="0">
                  <c:v>5209.6356709481233</c:v>
                </c:pt>
                <c:pt idx="1">
                  <c:v>5209.1363404082294</c:v>
                </c:pt>
                <c:pt idx="2">
                  <c:v>-62.389839801269865</c:v>
                </c:pt>
                <c:pt idx="3">
                  <c:v>820.62689197552766</c:v>
                </c:pt>
                <c:pt idx="4">
                  <c:v>1731.0002293763484</c:v>
                </c:pt>
                <c:pt idx="5">
                  <c:v>1887.2099438951304</c:v>
                </c:pt>
                <c:pt idx="6">
                  <c:v>833.93176841903744</c:v>
                </c:pt>
                <c:pt idx="7">
                  <c:v>993.49368014155687</c:v>
                </c:pt>
                <c:pt idx="8">
                  <c:v>1803.1870539306231</c:v>
                </c:pt>
                <c:pt idx="9">
                  <c:v>1821.756837905139</c:v>
                </c:pt>
                <c:pt idx="10">
                  <c:v>1845.1235969963773</c:v>
                </c:pt>
                <c:pt idx="11">
                  <c:v>1849.5726150669968</c:v>
                </c:pt>
                <c:pt idx="12">
                  <c:v>2672.0879476584255</c:v>
                </c:pt>
                <c:pt idx="13">
                  <c:v>2679.3858728367359</c:v>
                </c:pt>
                <c:pt idx="14">
                  <c:v>2688.8241980100679</c:v>
                </c:pt>
                <c:pt idx="15">
                  <c:v>1357.1647919448003</c:v>
                </c:pt>
                <c:pt idx="16">
                  <c:v>1208.3728946237154</c:v>
                </c:pt>
                <c:pt idx="17">
                  <c:v>1209.7964184215994</c:v>
                </c:pt>
                <c:pt idx="18">
                  <c:v>1230.8032481512964</c:v>
                </c:pt>
                <c:pt idx="19">
                  <c:v>1266.6710041888841</c:v>
                </c:pt>
                <c:pt idx="20">
                  <c:v>1310.0987033434162</c:v>
                </c:pt>
                <c:pt idx="21">
                  <c:v>1432.0110175653967</c:v>
                </c:pt>
                <c:pt idx="22">
                  <c:v>1803.2425658801772</c:v>
                </c:pt>
                <c:pt idx="23">
                  <c:v>1803.2565150640464</c:v>
                </c:pt>
              </c:numCache>
            </c:numRef>
          </c:yVal>
          <c:smooth val="0"/>
          <c:extLst>
            <c:ext xmlns:c16="http://schemas.microsoft.com/office/drawing/2014/chart" uri="{C3380CC4-5D6E-409C-BE32-E72D297353CC}">
              <c16:uniqueId val="{00000000-8FA4-4D1B-9A55-97F39413D3E9}"/>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NASA_2_CORAL!$CU$7:$CU$200</c:f>
              <c:numCache>
                <c:formatCode>0.00E+00</c:formatCode>
                <c:ptCount val="194"/>
                <c:pt idx="0">
                  <c:v>9.3981097192989951E-5</c:v>
                </c:pt>
                <c:pt idx="1">
                  <c:v>7.2424067327693696E-5</c:v>
                </c:pt>
                <c:pt idx="2">
                  <c:v>6.0832524169738474E-5</c:v>
                </c:pt>
                <c:pt idx="3">
                  <c:v>5.3215113644170976E-5</c:v>
                </c:pt>
                <c:pt idx="4">
                  <c:v>4.4674954914784574E-5</c:v>
                </c:pt>
                <c:pt idx="5">
                  <c:v>4.1881123288962204E-5</c:v>
                </c:pt>
                <c:pt idx="6">
                  <c:v>4.2835491274295488E-5</c:v>
                </c:pt>
                <c:pt idx="7">
                  <c:v>4.0481293298776685E-5</c:v>
                </c:pt>
                <c:pt idx="8">
                  <c:v>3.6726072873893471E-5</c:v>
                </c:pt>
                <c:pt idx="9">
                  <c:v>3.8659951796950124E-5</c:v>
                </c:pt>
                <c:pt idx="10">
                  <c:v>2.8079966389456712E-5</c:v>
                </c:pt>
                <c:pt idx="11">
                  <c:v>1.8794008317397213E-5</c:v>
                </c:pt>
                <c:pt idx="12">
                  <c:v>1.8245418231199204E-5</c:v>
                </c:pt>
                <c:pt idx="13">
                  <c:v>1.4415944675758141E-5</c:v>
                </c:pt>
                <c:pt idx="14">
                  <c:v>8.7522508538671893E-6</c:v>
                </c:pt>
                <c:pt idx="15">
                  <c:v>9.9189083631397951E-6</c:v>
                </c:pt>
                <c:pt idx="16">
                  <c:v>8.7090800948928043E-6</c:v>
                </c:pt>
                <c:pt idx="17">
                  <c:v>7.9254360412785605E-6</c:v>
                </c:pt>
                <c:pt idx="18">
                  <c:v>5.1734507703686521E-6</c:v>
                </c:pt>
                <c:pt idx="19">
                  <c:v>2.3964474515413658E-6</c:v>
                </c:pt>
                <c:pt idx="20">
                  <c:v>1.4034779907340644E-6</c:v>
                </c:pt>
              </c:numCache>
            </c:numRef>
          </c:yVal>
          <c:smooth val="0"/>
          <c:extLst>
            <c:ext xmlns:c16="http://schemas.microsoft.com/office/drawing/2014/chart" uri="{C3380CC4-5D6E-409C-BE32-E72D297353CC}">
              <c16:uniqueId val="{00000000-8BBB-4C07-8CE8-C16852ACFB59}"/>
            </c:ext>
          </c:extLst>
        </c:ser>
        <c:ser>
          <c:idx val="1"/>
          <c:order val="1"/>
          <c:tx>
            <c:strRef>
              <c:f>NASA_2_CORAL!$BP$5</c:f>
              <c:strCache>
                <c:ptCount val="1"/>
                <c:pt idx="0">
                  <c:v>ρIxx [kg*m]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NASA_2_CORAL!$BP$6:$BP$195</c:f>
              <c:numCache>
                <c:formatCode>0.00E+00</c:formatCode>
                <c:ptCount val="190"/>
                <c:pt idx="0">
                  <c:v>9.3980292552954387E-5</c:v>
                </c:pt>
                <c:pt idx="1">
                  <c:v>9.1387750404791309E-5</c:v>
                </c:pt>
                <c:pt idx="2">
                  <c:v>5.7756624243065578E-5</c:v>
                </c:pt>
                <c:pt idx="3">
                  <c:v>6.1091494522408403E-5</c:v>
                </c:pt>
                <c:pt idx="4">
                  <c:v>3.8004462407414209E-5</c:v>
                </c:pt>
                <c:pt idx="5">
                  <c:v>4.422586764374677E-5</c:v>
                </c:pt>
                <c:pt idx="6">
                  <c:v>4.2224882182338249E-5</c:v>
                </c:pt>
                <c:pt idx="7">
                  <c:v>3.8754081351230706E-5</c:v>
                </c:pt>
                <c:pt idx="8">
                  <c:v>3.2018607112083416E-5</c:v>
                </c:pt>
                <c:pt idx="9">
                  <c:v>3.9934700053448439E-5</c:v>
                </c:pt>
                <c:pt idx="10">
                  <c:v>3.4633011658789879E-5</c:v>
                </c:pt>
                <c:pt idx="11">
                  <c:v>2.3884689350011512E-5</c:v>
                </c:pt>
                <c:pt idx="12">
                  <c:v>1.838237204741609E-5</c:v>
                </c:pt>
                <c:pt idx="13">
                  <c:v>1.7147643832395407E-5</c:v>
                </c:pt>
                <c:pt idx="14">
                  <c:v>1.8591651882406676E-5</c:v>
                </c:pt>
                <c:pt idx="15">
                  <c:v>1.2162359945387167E-5</c:v>
                </c:pt>
                <c:pt idx="16">
                  <c:v>8.4224205721848138E-6</c:v>
                </c:pt>
                <c:pt idx="17">
                  <c:v>1.0740970437137697E-5</c:v>
                </c:pt>
                <c:pt idx="18">
                  <c:v>1.2424985268336759E-5</c:v>
                </c:pt>
                <c:pt idx="19">
                  <c:v>8.7046170544481786E-6</c:v>
                </c:pt>
                <c:pt idx="20">
                  <c:v>9.9270800190509167E-6</c:v>
                </c:pt>
                <c:pt idx="21">
                  <c:v>2.3206427663517713E-6</c:v>
                </c:pt>
                <c:pt idx="22">
                  <c:v>1.3951766299904276E-6</c:v>
                </c:pt>
                <c:pt idx="23">
                  <c:v>1.4034779907340641E-6</c:v>
                </c:pt>
              </c:numCache>
            </c:numRef>
          </c:yVal>
          <c:smooth val="0"/>
          <c:extLst>
            <c:ext xmlns:c16="http://schemas.microsoft.com/office/drawing/2014/chart" uri="{C3380CC4-5D6E-409C-BE32-E72D297353CC}">
              <c16:uniqueId val="{00000001-8BBB-4C07-8CE8-C16852ACFB59}"/>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NASA_2_CORAL!$CV$7:$CV$200</c:f>
              <c:numCache>
                <c:formatCode>0.00E+00</c:formatCode>
                <c:ptCount val="194"/>
                <c:pt idx="0">
                  <c:v>6.1375230444865236E-3</c:v>
                </c:pt>
                <c:pt idx="1">
                  <c:v>3.5719288440171294E-3</c:v>
                </c:pt>
                <c:pt idx="2">
                  <c:v>1.4777761575157891E-3</c:v>
                </c:pt>
                <c:pt idx="3">
                  <c:v>1.4689834795215549E-3</c:v>
                </c:pt>
                <c:pt idx="4">
                  <c:v>1.4692898509598279E-3</c:v>
                </c:pt>
                <c:pt idx="5">
                  <c:v>1.4667317430547436E-3</c:v>
                </c:pt>
                <c:pt idx="6">
                  <c:v>1.5008838774728842E-3</c:v>
                </c:pt>
                <c:pt idx="7">
                  <c:v>1.4985742546535779E-3</c:v>
                </c:pt>
                <c:pt idx="8">
                  <c:v>1.5357401356254634E-3</c:v>
                </c:pt>
                <c:pt idx="9">
                  <c:v>1.6512993674537065E-3</c:v>
                </c:pt>
                <c:pt idx="10">
                  <c:v>1.6115590391006585E-3</c:v>
                </c:pt>
                <c:pt idx="11">
                  <c:v>1.5071895104871863E-3</c:v>
                </c:pt>
                <c:pt idx="12">
                  <c:v>1.3411793013143459E-3</c:v>
                </c:pt>
                <c:pt idx="13">
                  <c:v>1.3598050068337687E-3</c:v>
                </c:pt>
                <c:pt idx="14">
                  <c:v>1.4384189178592117E-3</c:v>
                </c:pt>
                <c:pt idx="15">
                  <c:v>1.3183225268815369E-3</c:v>
                </c:pt>
                <c:pt idx="16">
                  <c:v>1.2623428560719142E-3</c:v>
                </c:pt>
                <c:pt idx="17">
                  <c:v>1.2016793447934503E-3</c:v>
                </c:pt>
                <c:pt idx="18">
                  <c:v>7.4464292864968092E-4</c:v>
                </c:pt>
                <c:pt idx="19">
                  <c:v>2.8345163599551113E-4</c:v>
                </c:pt>
                <c:pt idx="20">
                  <c:v>1.7344500204911391E-4</c:v>
                </c:pt>
              </c:numCache>
            </c:numRef>
          </c:yVal>
          <c:smooth val="0"/>
          <c:extLst>
            <c:ext xmlns:c16="http://schemas.microsoft.com/office/drawing/2014/chart" uri="{C3380CC4-5D6E-409C-BE32-E72D297353CC}">
              <c16:uniqueId val="{00000000-FEED-413B-9A10-D102F52D0412}"/>
            </c:ext>
          </c:extLst>
        </c:ser>
        <c:ser>
          <c:idx val="1"/>
          <c:order val="1"/>
          <c:tx>
            <c:strRef>
              <c:f>NASA_2_CORAL!$BQ$5</c:f>
              <c:strCache>
                <c:ptCount val="1"/>
                <c:pt idx="0">
                  <c:v>ρIzz [kg*m]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NASA_2_CORAL!$BQ$6:$BQ$195</c:f>
              <c:numCache>
                <c:formatCode>0.00E+00</c:formatCode>
                <c:ptCount val="190"/>
                <c:pt idx="0">
                  <c:v>6.1375238491265588E-3</c:v>
                </c:pt>
                <c:pt idx="1">
                  <c:v>6.1401163912747211E-3</c:v>
                </c:pt>
                <c:pt idx="2">
                  <c:v>1.5855665679282704E-3</c:v>
                </c:pt>
                <c:pt idx="3">
                  <c:v>1.4687009205885753E-3</c:v>
                </c:pt>
                <c:pt idx="4">
                  <c:v>1.4695291496014842E-3</c:v>
                </c:pt>
                <c:pt idx="5">
                  <c:v>1.4650397706566089E-3</c:v>
                </c:pt>
                <c:pt idx="6">
                  <c:v>1.5166254694590469E-3</c:v>
                </c:pt>
                <c:pt idx="7">
                  <c:v>1.4806925887553427E-3</c:v>
                </c:pt>
                <c:pt idx="8">
                  <c:v>1.663517926033406E-3</c:v>
                </c:pt>
                <c:pt idx="9">
                  <c:v>1.6489541215757317E-3</c:v>
                </c:pt>
                <c:pt idx="10">
                  <c:v>1.807256724996487E-3</c:v>
                </c:pt>
                <c:pt idx="11">
                  <c:v>1.4862728592304449E-3</c:v>
                </c:pt>
                <c:pt idx="12">
                  <c:v>1.508880846528211E-3</c:v>
                </c:pt>
                <c:pt idx="13">
                  <c:v>1.3621371200536402E-3</c:v>
                </c:pt>
                <c:pt idx="14">
                  <c:v>1.3345692891740034E-3</c:v>
                </c:pt>
                <c:pt idx="15">
                  <c:v>1.3734244550286639E-3</c:v>
                </c:pt>
                <c:pt idx="16">
                  <c:v>1.4447052686497193E-3</c:v>
                </c:pt>
                <c:pt idx="17">
                  <c:v>1.2488969963536914E-3</c:v>
                </c:pt>
                <c:pt idx="18">
                  <c:v>1.4284418216149056E-3</c:v>
                </c:pt>
                <c:pt idx="19">
                  <c:v>1.2613470635670736E-3</c:v>
                </c:pt>
                <c:pt idx="20">
                  <c:v>1.5341027046373646E-3</c:v>
                </c:pt>
                <c:pt idx="21">
                  <c:v>2.7086236016900792E-4</c:v>
                </c:pt>
                <c:pt idx="22">
                  <c:v>1.8843598268214958E-4</c:v>
                </c:pt>
                <c:pt idx="23">
                  <c:v>1.7344500204911388E-4</c:v>
                </c:pt>
              </c:numCache>
            </c:numRef>
          </c:yVal>
          <c:smooth val="0"/>
          <c:extLst>
            <c:ext xmlns:c16="http://schemas.microsoft.com/office/drawing/2014/chart" uri="{C3380CC4-5D6E-409C-BE32-E72D297353CC}">
              <c16:uniqueId val="{00000001-FEED-413B-9A10-D102F52D0412}"/>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NASA_2_CORAL!$CW$7:$CW$200</c:f>
              <c:numCache>
                <c:formatCode>0.00E+00</c:formatCode>
                <c:ptCount val="194"/>
                <c:pt idx="0">
                  <c:v>-5.410590537688007E-4</c:v>
                </c:pt>
                <c:pt idx="1">
                  <c:v>-3.5259324979273229E-4</c:v>
                </c:pt>
                <c:pt idx="2">
                  <c:v>-2.0623863762135255E-4</c:v>
                </c:pt>
                <c:pt idx="3">
                  <c:v>-1.5648311660777472E-4</c:v>
                </c:pt>
                <c:pt idx="4">
                  <c:v>-1.0331245403996722E-4</c:v>
                </c:pt>
                <c:pt idx="5">
                  <c:v>-5.8591157140455896E-5</c:v>
                </c:pt>
                <c:pt idx="6">
                  <c:v>-1.0745146991591675E-4</c:v>
                </c:pt>
                <c:pt idx="7">
                  <c:v>-1.1858022349807841E-4</c:v>
                </c:pt>
                <c:pt idx="8">
                  <c:v>-9.7557842655720091E-5</c:v>
                </c:pt>
                <c:pt idx="9">
                  <c:v>-1.0268865001305723E-4</c:v>
                </c:pt>
                <c:pt idx="10">
                  <c:v>-7.1384068779810819E-5</c:v>
                </c:pt>
                <c:pt idx="11">
                  <c:v>-4.6970320100472332E-5</c:v>
                </c:pt>
                <c:pt idx="12">
                  <c:v>-1.6717834792001519E-5</c:v>
                </c:pt>
                <c:pt idx="13">
                  <c:v>8.767261299905913E-7</c:v>
                </c:pt>
                <c:pt idx="14">
                  <c:v>2.1903706994012931E-5</c:v>
                </c:pt>
                <c:pt idx="15">
                  <c:v>4.848138558146232E-5</c:v>
                </c:pt>
                <c:pt idx="16">
                  <c:v>4.1223938249966959E-5</c:v>
                </c:pt>
                <c:pt idx="17">
                  <c:v>3.965657500243518E-5</c:v>
                </c:pt>
                <c:pt idx="18">
                  <c:v>2.8510050181947034E-5</c:v>
                </c:pt>
                <c:pt idx="19">
                  <c:v>1.726219331763621E-5</c:v>
                </c:pt>
                <c:pt idx="20">
                  <c:v>1.0020235442823492E-5</c:v>
                </c:pt>
              </c:numCache>
            </c:numRef>
          </c:yVal>
          <c:smooth val="0"/>
          <c:extLst>
            <c:ext xmlns:c16="http://schemas.microsoft.com/office/drawing/2014/chart" uri="{C3380CC4-5D6E-409C-BE32-E72D297353CC}">
              <c16:uniqueId val="{00000000-CB39-48EF-A427-973F17F7CA99}"/>
            </c:ext>
          </c:extLst>
        </c:ser>
        <c:ser>
          <c:idx val="1"/>
          <c:order val="1"/>
          <c:tx>
            <c:strRef>
              <c:f>NASA_2_CORAL!$BR$5</c:f>
              <c:strCache>
                <c:ptCount val="1"/>
                <c:pt idx="0">
                  <c:v>ρIxz [kg*m]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NASA_2_CORAL!$BR$6:$BR$195</c:f>
              <c:numCache>
                <c:formatCode>0.00E+00</c:formatCode>
                <c:ptCount val="190"/>
                <c:pt idx="0">
                  <c:v>-5.4105587011621208E-4</c:v>
                </c:pt>
                <c:pt idx="1">
                  <c:v>-5.3079817331204079E-4</c:v>
                </c:pt>
                <c:pt idx="2">
                  <c:v>-2.1476081700563021E-4</c:v>
                </c:pt>
                <c:pt idx="3">
                  <c:v>-2.0552112669665546E-4</c:v>
                </c:pt>
                <c:pt idx="4">
                  <c:v>-6.1782253313128922E-5</c:v>
                </c:pt>
                <c:pt idx="5">
                  <c:v>-5.6661067053890996E-5</c:v>
                </c:pt>
                <c:pt idx="6">
                  <c:v>-1.2975699988113277E-4</c:v>
                </c:pt>
                <c:pt idx="7">
                  <c:v>-1.0750842676556637E-4</c:v>
                </c:pt>
                <c:pt idx="8">
                  <c:v>-7.4460289301990596E-5</c:v>
                </c:pt>
                <c:pt idx="9">
                  <c:v>-1.0810683794150984E-4</c:v>
                </c:pt>
                <c:pt idx="10">
                  <c:v>-1.0765565054102364E-4</c:v>
                </c:pt>
                <c:pt idx="11">
                  <c:v>-4.8162905504883522E-5</c:v>
                </c:pt>
                <c:pt idx="12">
                  <c:v>-4.6873886754057455E-5</c:v>
                </c:pt>
                <c:pt idx="13">
                  <c:v>-7.8044296670055785E-7</c:v>
                </c:pt>
                <c:pt idx="14">
                  <c:v>-2.1744424379453078E-5</c:v>
                </c:pt>
                <c:pt idx="15">
                  <c:v>1.3085120265081737E-5</c:v>
                </c:pt>
                <c:pt idx="16">
                  <c:v>2.2756652417980988E-5</c:v>
                </c:pt>
                <c:pt idx="17">
                  <c:v>6.2612691981175027E-5</c:v>
                </c:pt>
                <c:pt idx="18">
                  <c:v>8.3056529902801298E-5</c:v>
                </c:pt>
                <c:pt idx="19">
                  <c:v>4.1199974099689646E-5</c:v>
                </c:pt>
                <c:pt idx="20">
                  <c:v>4.7763949164595292E-5</c:v>
                </c:pt>
                <c:pt idx="21">
                  <c:v>1.6955157224853734E-5</c:v>
                </c:pt>
                <c:pt idx="22">
                  <c:v>1.0205284074981513E-5</c:v>
                </c:pt>
                <c:pt idx="23">
                  <c:v>1.002023544282349E-5</c:v>
                </c:pt>
              </c:numCache>
            </c:numRef>
          </c:yVal>
          <c:smooth val="0"/>
          <c:extLst>
            <c:ext xmlns:c16="http://schemas.microsoft.com/office/drawing/2014/chart" uri="{C3380CC4-5D6E-409C-BE32-E72D297353CC}">
              <c16:uniqueId val="{00000001-CB39-48EF-A427-973F17F7CA99}"/>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NASA_2_CORAL!$DA$7:$DA$200</c:f>
              <c:numCache>
                <c:formatCode>0.00E+00</c:formatCode>
                <c:ptCount val="194"/>
                <c:pt idx="0">
                  <c:v>1198.2741064762447</c:v>
                </c:pt>
                <c:pt idx="1">
                  <c:v>1160.3360939908714</c:v>
                </c:pt>
                <c:pt idx="2">
                  <c:v>1285.9457838065698</c:v>
                </c:pt>
                <c:pt idx="3">
                  <c:v>1216.6269287800487</c:v>
                </c:pt>
                <c:pt idx="4">
                  <c:v>1128.3039411275518</c:v>
                </c:pt>
                <c:pt idx="5">
                  <c:v>953.30322578800281</c:v>
                </c:pt>
                <c:pt idx="6">
                  <c:v>1033.8951933847698</c:v>
                </c:pt>
                <c:pt idx="7">
                  <c:v>1039.1690894244634</c:v>
                </c:pt>
                <c:pt idx="8">
                  <c:v>846.87574484311119</c:v>
                </c:pt>
                <c:pt idx="9">
                  <c:v>537.9100590342656</c:v>
                </c:pt>
                <c:pt idx="10">
                  <c:v>453.91662846025116</c:v>
                </c:pt>
                <c:pt idx="11">
                  <c:v>312.66008996679409</c:v>
                </c:pt>
                <c:pt idx="12">
                  <c:v>305.85715484014747</c:v>
                </c:pt>
                <c:pt idx="13">
                  <c:v>218.1683615776497</c:v>
                </c:pt>
                <c:pt idx="14">
                  <c:v>92.096166573349123</c:v>
                </c:pt>
                <c:pt idx="15">
                  <c:v>89.396798227126041</c:v>
                </c:pt>
                <c:pt idx="16">
                  <c:v>92.924600605738817</c:v>
                </c:pt>
                <c:pt idx="17">
                  <c:v>74.006486078706629</c:v>
                </c:pt>
                <c:pt idx="18">
                  <c:v>45.38993238672397</c:v>
                </c:pt>
                <c:pt idx="19">
                  <c:v>16.51322820663222</c:v>
                </c:pt>
                <c:pt idx="20">
                  <c:v>8.974308125544713</c:v>
                </c:pt>
              </c:numCache>
            </c:numRef>
          </c:yVal>
          <c:smooth val="0"/>
          <c:extLst>
            <c:ext xmlns:c16="http://schemas.microsoft.com/office/drawing/2014/chart" uri="{C3380CC4-5D6E-409C-BE32-E72D297353CC}">
              <c16:uniqueId val="{00000000-D697-4587-9B01-12EFCDBAC6CE}"/>
            </c:ext>
          </c:extLst>
        </c:ser>
        <c:ser>
          <c:idx val="1"/>
          <c:order val="1"/>
          <c:tx>
            <c:strRef>
              <c:f>NASA_2_CORAL!$BV$5</c:f>
              <c:strCache>
                <c:ptCount val="1"/>
                <c:pt idx="0">
                  <c:v>Eixx [Nm^2]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NASA_2_CORAL!$BV$6:$BV$195</c:f>
              <c:numCache>
                <c:formatCode>0.00E+00</c:formatCode>
                <c:ptCount val="190"/>
                <c:pt idx="0">
                  <c:v>1198.2697863273588</c:v>
                </c:pt>
                <c:pt idx="1">
                  <c:v>1184.3503098187011</c:v>
                </c:pt>
                <c:pt idx="2">
                  <c:v>1141.7623210352344</c:v>
                </c:pt>
                <c:pt idx="3">
                  <c:v>1298.0850741258919</c:v>
                </c:pt>
                <c:pt idx="4">
                  <c:v>1059.3171873641497</c:v>
                </c:pt>
                <c:pt idx="5">
                  <c:v>889.18215728877431</c:v>
                </c:pt>
                <c:pt idx="6">
                  <c:v>1097.4485574280779</c:v>
                </c:pt>
                <c:pt idx="7">
                  <c:v>981.43702059706288</c:v>
                </c:pt>
                <c:pt idx="8">
                  <c:v>534.52862915998764</c:v>
                </c:pt>
                <c:pt idx="9">
                  <c:v>538.55909504146598</c:v>
                </c:pt>
                <c:pt idx="10">
                  <c:v>532.26095433973865</c:v>
                </c:pt>
                <c:pt idx="11">
                  <c:v>403.7603823144845</c:v>
                </c:pt>
                <c:pt idx="12">
                  <c:v>305.29365229451764</c:v>
                </c:pt>
                <c:pt idx="13">
                  <c:v>305.34296533651428</c:v>
                </c:pt>
                <c:pt idx="14">
                  <c:v>306.01932815139384</c:v>
                </c:pt>
                <c:pt idx="15">
                  <c:v>170.75613006302183</c:v>
                </c:pt>
                <c:pt idx="16">
                  <c:v>84.488070404390527</c:v>
                </c:pt>
                <c:pt idx="17">
                  <c:v>92.093297990798717</c:v>
                </c:pt>
                <c:pt idx="18">
                  <c:v>92.202054846118614</c:v>
                </c:pt>
                <c:pt idx="19">
                  <c:v>92.917653191318919</c:v>
                </c:pt>
                <c:pt idx="20">
                  <c:v>94.820606331326104</c:v>
                </c:pt>
                <c:pt idx="21">
                  <c:v>15.72497222766229</c:v>
                </c:pt>
                <c:pt idx="22">
                  <c:v>8.926287441211306</c:v>
                </c:pt>
                <c:pt idx="23">
                  <c:v>8.9743081255447112</c:v>
                </c:pt>
              </c:numCache>
            </c:numRef>
          </c:yVal>
          <c:smooth val="0"/>
          <c:extLst>
            <c:ext xmlns:c16="http://schemas.microsoft.com/office/drawing/2014/chart" uri="{C3380CC4-5D6E-409C-BE32-E72D297353CC}">
              <c16:uniqueId val="{00000001-D697-4587-9B01-12EFCDBAC6CE}"/>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NASA_2_CORAL!$DB$7:$DB$200</c:f>
              <c:numCache>
                <c:formatCode>0.00E+00</c:formatCode>
                <c:ptCount val="194"/>
                <c:pt idx="0">
                  <c:v>19920.473850878807</c:v>
                </c:pt>
                <c:pt idx="1">
                  <c:v>15946.985960252125</c:v>
                </c:pt>
                <c:pt idx="2">
                  <c:v>11528.52796317464</c:v>
                </c:pt>
                <c:pt idx="3">
                  <c:v>11341.669342155874</c:v>
                </c:pt>
                <c:pt idx="4">
                  <c:v>11260.87879559773</c:v>
                </c:pt>
                <c:pt idx="5">
                  <c:v>11169.004590294024</c:v>
                </c:pt>
                <c:pt idx="6">
                  <c:v>11141.741157778619</c:v>
                </c:pt>
                <c:pt idx="7">
                  <c:v>10718.948737935931</c:v>
                </c:pt>
                <c:pt idx="8">
                  <c:v>9768.4683100218954</c:v>
                </c:pt>
                <c:pt idx="9">
                  <c:v>8526.8551614660719</c:v>
                </c:pt>
                <c:pt idx="10">
                  <c:v>8013.4642549805931</c:v>
                </c:pt>
                <c:pt idx="11">
                  <c:v>7215.0433561677701</c:v>
                </c:pt>
                <c:pt idx="12">
                  <c:v>7207.784537149897</c:v>
                </c:pt>
                <c:pt idx="13">
                  <c:v>6821.9127384754647</c:v>
                </c:pt>
                <c:pt idx="14">
                  <c:v>6075.0994726281997</c:v>
                </c:pt>
                <c:pt idx="15">
                  <c:v>6039.7366099443143</c:v>
                </c:pt>
                <c:pt idx="16">
                  <c:v>6051.0083568361106</c:v>
                </c:pt>
                <c:pt idx="17">
                  <c:v>5006.3962150544103</c:v>
                </c:pt>
                <c:pt idx="18">
                  <c:v>3326.2989424445541</c:v>
                </c:pt>
                <c:pt idx="19">
                  <c:v>1630.9280582655092</c:v>
                </c:pt>
                <c:pt idx="20">
                  <c:v>1070.3243797483506</c:v>
                </c:pt>
              </c:numCache>
            </c:numRef>
          </c:yVal>
          <c:smooth val="0"/>
          <c:extLst>
            <c:ext xmlns:c16="http://schemas.microsoft.com/office/drawing/2014/chart" uri="{C3380CC4-5D6E-409C-BE32-E72D297353CC}">
              <c16:uniqueId val="{00000000-B176-4F13-B73F-4C336298830F}"/>
            </c:ext>
          </c:extLst>
        </c:ser>
        <c:ser>
          <c:idx val="1"/>
          <c:order val="1"/>
          <c:tx>
            <c:strRef>
              <c:f>NASA_2_CORAL!$BW$5</c:f>
              <c:strCache>
                <c:ptCount val="1"/>
                <c:pt idx="0">
                  <c:v>Eizz [Nm^2]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NASA_2_CORAL!$BW$6:$BW$195</c:f>
              <c:numCache>
                <c:formatCode>0.00E+00</c:formatCode>
                <c:ptCount val="190"/>
                <c:pt idx="0">
                  <c:v>19920.478171027691</c:v>
                </c:pt>
                <c:pt idx="1">
                  <c:v>19934.397647536352</c:v>
                </c:pt>
                <c:pt idx="2">
                  <c:v>12862.92608957992</c:v>
                </c:pt>
                <c:pt idx="3">
                  <c:v>11416.180500111674</c:v>
                </c:pt>
                <c:pt idx="4">
                  <c:v>11197.775432702603</c:v>
                </c:pt>
                <c:pt idx="5">
                  <c:v>11151.602946874293</c:v>
                </c:pt>
                <c:pt idx="6">
                  <c:v>11137.410173581038</c:v>
                </c:pt>
                <c:pt idx="7">
                  <c:v>10304.417767907553</c:v>
                </c:pt>
                <c:pt idx="8">
                  <c:v>8524.4085581760719</c:v>
                </c:pt>
                <c:pt idx="9">
                  <c:v>8527.3247656541189</c:v>
                </c:pt>
                <c:pt idx="10">
                  <c:v>8466.5713226817588</c:v>
                </c:pt>
                <c:pt idx="11">
                  <c:v>7723.3839031122961</c:v>
                </c:pt>
                <c:pt idx="12">
                  <c:v>7173.9385599167763</c:v>
                </c:pt>
                <c:pt idx="13">
                  <c:v>7207.1654365820041</c:v>
                </c:pt>
                <c:pt idx="14">
                  <c:v>7207.979798990872</c:v>
                </c:pt>
                <c:pt idx="15">
                  <c:v>6613.5564554747152</c:v>
                </c:pt>
                <c:pt idx="16">
                  <c:v>6023.0191979039246</c:v>
                </c:pt>
                <c:pt idx="17">
                  <c:v>6048.9199460843511</c:v>
                </c:pt>
                <c:pt idx="18">
                  <c:v>6167.3798489500759</c:v>
                </c:pt>
                <c:pt idx="19">
                  <c:v>6050.3583249485482</c:v>
                </c:pt>
                <c:pt idx="20">
                  <c:v>6228.4073294813998</c:v>
                </c:pt>
                <c:pt idx="21">
                  <c:v>1584.6490152109006</c:v>
                </c:pt>
                <c:pt idx="22">
                  <c:v>1231.8377558815325</c:v>
                </c:pt>
                <c:pt idx="23">
                  <c:v>1070.3243797483503</c:v>
                </c:pt>
              </c:numCache>
            </c:numRef>
          </c:yVal>
          <c:smooth val="0"/>
          <c:extLst>
            <c:ext xmlns:c16="http://schemas.microsoft.com/office/drawing/2014/chart" uri="{C3380CC4-5D6E-409C-BE32-E72D297353CC}">
              <c16:uniqueId val="{00000001-B176-4F13-B73F-4C336298830F}"/>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NASA_2_CORAL!$DC$7:$DC$200</c:f>
              <c:numCache>
                <c:formatCode>0.00E+00</c:formatCode>
                <c:ptCount val="194"/>
                <c:pt idx="0">
                  <c:v>-2656.3595999346385</c:v>
                </c:pt>
                <c:pt idx="1">
                  <c:v>-2082.2898729734493</c:v>
                </c:pt>
                <c:pt idx="2">
                  <c:v>-1520.0870881093442</c:v>
                </c:pt>
                <c:pt idx="3">
                  <c:v>-1346.4804009598201</c:v>
                </c:pt>
                <c:pt idx="4">
                  <c:v>-1172.5321394988136</c:v>
                </c:pt>
                <c:pt idx="5">
                  <c:v>-1079.2602912215898</c:v>
                </c:pt>
                <c:pt idx="6">
                  <c:v>-975.4288508640318</c:v>
                </c:pt>
                <c:pt idx="7">
                  <c:v>-794.46921319387002</c:v>
                </c:pt>
                <c:pt idx="8">
                  <c:v>-538.02744464820273</c:v>
                </c:pt>
                <c:pt idx="9">
                  <c:v>-222.5763746233481</c:v>
                </c:pt>
                <c:pt idx="10">
                  <c:v>-65.455177019139143</c:v>
                </c:pt>
                <c:pt idx="11">
                  <c:v>129.44784567403758</c:v>
                </c:pt>
                <c:pt idx="12">
                  <c:v>216.96048259824661</c:v>
                </c:pt>
                <c:pt idx="13">
                  <c:v>260.19373206026546</c:v>
                </c:pt>
                <c:pt idx="14">
                  <c:v>238.14380700878371</c:v>
                </c:pt>
                <c:pt idx="15">
                  <c:v>298.09670275147062</c:v>
                </c:pt>
                <c:pt idx="16">
                  <c:v>339.04075216725471</c:v>
                </c:pt>
                <c:pt idx="17">
                  <c:v>289.06158688730085</c:v>
                </c:pt>
                <c:pt idx="18">
                  <c:v>200.07923692342041</c:v>
                </c:pt>
                <c:pt idx="19">
                  <c:v>110.28795650532237</c:v>
                </c:pt>
                <c:pt idx="20">
                  <c:v>68.012002852374351</c:v>
                </c:pt>
              </c:numCache>
            </c:numRef>
          </c:yVal>
          <c:smooth val="0"/>
          <c:extLst>
            <c:ext xmlns:c16="http://schemas.microsoft.com/office/drawing/2014/chart" uri="{C3380CC4-5D6E-409C-BE32-E72D297353CC}">
              <c16:uniqueId val="{00000000-FDFA-41B7-A98F-45AE850B4925}"/>
            </c:ext>
          </c:extLst>
        </c:ser>
        <c:ser>
          <c:idx val="1"/>
          <c:order val="1"/>
          <c:tx>
            <c:strRef>
              <c:f>NASA_2_CORAL!$BX$5</c:f>
              <c:strCache>
                <c:ptCount val="1"/>
                <c:pt idx="0">
                  <c:v> + Eixz [Nm^2]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NASA_2_CORAL!$BX$6:$BX$195</c:f>
              <c:numCache>
                <c:formatCode>0.00E+00</c:formatCode>
                <c:ptCount val="190"/>
                <c:pt idx="0">
                  <c:v>-2656.3442210766771</c:v>
                </c:pt>
                <c:pt idx="1">
                  <c:v>-2606.7936945137649</c:v>
                </c:pt>
                <c:pt idx="2">
                  <c:v>-1676.6128787505556</c:v>
                </c:pt>
                <c:pt idx="3">
                  <c:v>-1506.9086557251217</c:v>
                </c:pt>
                <c:pt idx="4">
                  <c:v>-1036.6657450308605</c:v>
                </c:pt>
                <c:pt idx="5">
                  <c:v>-1105.0230093898713</c:v>
                </c:pt>
                <c:pt idx="6">
                  <c:v>-918.51521711775729</c:v>
                </c:pt>
                <c:pt idx="7">
                  <c:v>-671.58833109910381</c:v>
                </c:pt>
                <c:pt idx="8">
                  <c:v>-228.00245850507741</c:v>
                </c:pt>
                <c:pt idx="9">
                  <c:v>-221.53488509132467</c:v>
                </c:pt>
                <c:pt idx="10">
                  <c:v>-204.35373794155527</c:v>
                </c:pt>
                <c:pt idx="11">
                  <c:v>23.468051724111945</c:v>
                </c:pt>
                <c:pt idx="12">
                  <c:v>138.0174509577754</c:v>
                </c:pt>
                <c:pt idx="13">
                  <c:v>212.19817419674101</c:v>
                </c:pt>
                <c:pt idx="14">
                  <c:v>218.46249560549657</c:v>
                </c:pt>
                <c:pt idx="15">
                  <c:v>282.7156361593436</c:v>
                </c:pt>
                <c:pt idx="16">
                  <c:v>233.83276047939682</c:v>
                </c:pt>
                <c:pt idx="17">
                  <c:v>333.39866110139451</c:v>
                </c:pt>
                <c:pt idx="18">
                  <c:v>335.95743879956217</c:v>
                </c:pt>
                <c:pt idx="19">
                  <c:v>338.98673492825372</c:v>
                </c:pt>
                <c:pt idx="20">
                  <c:v>353.78249466830198</c:v>
                </c:pt>
                <c:pt idx="21">
                  <c:v>107.83689722904504</c:v>
                </c:pt>
                <c:pt idx="22">
                  <c:v>71.851604843252403</c:v>
                </c:pt>
                <c:pt idx="23">
                  <c:v>68.012002852374337</c:v>
                </c:pt>
              </c:numCache>
            </c:numRef>
          </c:yVal>
          <c:smooth val="0"/>
          <c:extLst>
            <c:ext xmlns:c16="http://schemas.microsoft.com/office/drawing/2014/chart" uri="{C3380CC4-5D6E-409C-BE32-E72D297353CC}">
              <c16:uniqueId val="{00000001-FDFA-41B7-A98F-45AE850B4925}"/>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NASA_2_CORAL!$CY$7:$CY$200</c:f>
              <c:numCache>
                <c:formatCode>0.00E+00</c:formatCode>
                <c:ptCount val="194"/>
                <c:pt idx="0">
                  <c:v>-2937.6055547441197</c:v>
                </c:pt>
                <c:pt idx="1">
                  <c:v>17525.754600037177</c:v>
                </c:pt>
                <c:pt idx="2">
                  <c:v>53636.742435705033</c:v>
                </c:pt>
                <c:pt idx="3">
                  <c:v>63186.27637870326</c:v>
                </c:pt>
                <c:pt idx="4">
                  <c:v>71688.926637598342</c:v>
                </c:pt>
                <c:pt idx="5">
                  <c:v>50003.586839392832</c:v>
                </c:pt>
                <c:pt idx="6">
                  <c:v>45424.736334852154</c:v>
                </c:pt>
                <c:pt idx="7">
                  <c:v>48326.032365306011</c:v>
                </c:pt>
                <c:pt idx="8">
                  <c:v>45483.375883877699</c:v>
                </c:pt>
                <c:pt idx="9">
                  <c:v>45420.063813543216</c:v>
                </c:pt>
                <c:pt idx="10">
                  <c:v>43856.025205533057</c:v>
                </c:pt>
                <c:pt idx="11">
                  <c:v>41791.220703837316</c:v>
                </c:pt>
                <c:pt idx="12">
                  <c:v>41752.571647826204</c:v>
                </c:pt>
                <c:pt idx="13">
                  <c:v>31086.157375432929</c:v>
                </c:pt>
                <c:pt idx="14">
                  <c:v>13446.51665427545</c:v>
                </c:pt>
                <c:pt idx="15">
                  <c:v>12298.398639765284</c:v>
                </c:pt>
                <c:pt idx="16">
                  <c:v>12339.378801141302</c:v>
                </c:pt>
                <c:pt idx="17">
                  <c:v>10282.245581751797</c:v>
                </c:pt>
                <c:pt idx="18">
                  <c:v>6915.3654591235327</c:v>
                </c:pt>
                <c:pt idx="19">
                  <c:v>3517.8773353804481</c:v>
                </c:pt>
                <c:pt idx="20">
                  <c:v>2153.4908412854975</c:v>
                </c:pt>
              </c:numCache>
            </c:numRef>
          </c:yVal>
          <c:smooth val="0"/>
          <c:extLst>
            <c:ext xmlns:c16="http://schemas.microsoft.com/office/drawing/2014/chart" uri="{C3380CC4-5D6E-409C-BE32-E72D297353CC}">
              <c16:uniqueId val="{00000000-2C3B-46E9-8C2C-D9FA9E638D5A}"/>
            </c:ext>
          </c:extLst>
        </c:ser>
        <c:ser>
          <c:idx val="1"/>
          <c:order val="1"/>
          <c:tx>
            <c:strRef>
              <c:f>NASA_2_CORAL!$BT$5</c:f>
              <c:strCache>
                <c:ptCount val="1"/>
                <c:pt idx="0">
                  <c:v> + EAx [Nm]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NASA_2_CORAL!$BT$6:$BT$195</c:f>
              <c:numCache>
                <c:formatCode>0.00E+00</c:formatCode>
                <c:ptCount val="190"/>
                <c:pt idx="0">
                  <c:v>-2937.6055547441197</c:v>
                </c:pt>
                <c:pt idx="1">
                  <c:v>-2937.6055547441201</c:v>
                </c:pt>
                <c:pt idx="2">
                  <c:v>33353.121529248616</c:v>
                </c:pt>
                <c:pt idx="3">
                  <c:v>55344.488651379208</c:v>
                </c:pt>
                <c:pt idx="4">
                  <c:v>78330.12226896167</c:v>
                </c:pt>
                <c:pt idx="5">
                  <c:v>32870.676309296403</c:v>
                </c:pt>
                <c:pt idx="6">
                  <c:v>50938.080319263026</c:v>
                </c:pt>
                <c:pt idx="7">
                  <c:v>45738.518487365938</c:v>
                </c:pt>
                <c:pt idx="8">
                  <c:v>44891.132269651302</c:v>
                </c:pt>
                <c:pt idx="9">
                  <c:v>45521.587615631004</c:v>
                </c:pt>
                <c:pt idx="10">
                  <c:v>44891.132269651302</c:v>
                </c:pt>
                <c:pt idx="11">
                  <c:v>43193.346905447899</c:v>
                </c:pt>
                <c:pt idx="12">
                  <c:v>41677.843732077337</c:v>
                </c:pt>
                <c:pt idx="13">
                  <c:v>41677.84373207733</c:v>
                </c:pt>
                <c:pt idx="14">
                  <c:v>41776.140533332233</c:v>
                </c:pt>
                <c:pt idx="15">
                  <c:v>25316.887256539645</c:v>
                </c:pt>
                <c:pt idx="16">
                  <c:v>12298.398639765286</c:v>
                </c:pt>
                <c:pt idx="17">
                  <c:v>12298.398639765284</c:v>
                </c:pt>
                <c:pt idx="18">
                  <c:v>12023.845505225743</c:v>
                </c:pt>
                <c:pt idx="19">
                  <c:v>12337.943329925303</c:v>
                </c:pt>
                <c:pt idx="20">
                  <c:v>12731.130534944899</c:v>
                </c:pt>
                <c:pt idx="21">
                  <c:v>3425.1350920026148</c:v>
                </c:pt>
                <c:pt idx="22">
                  <c:v>2153.4908412854975</c:v>
                </c:pt>
                <c:pt idx="23">
                  <c:v>2153.490841285497</c:v>
                </c:pt>
              </c:numCache>
            </c:numRef>
          </c:yVal>
          <c:smooth val="0"/>
          <c:extLst>
            <c:ext xmlns:c16="http://schemas.microsoft.com/office/drawing/2014/chart" uri="{C3380CC4-5D6E-409C-BE32-E72D297353CC}">
              <c16:uniqueId val="{00000001-2C3B-46E9-8C2C-D9FA9E638D5A}"/>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NASA_2_CORAL!$CZ$7:$CZ$200</c:f>
              <c:numCache>
                <c:formatCode>0.00E+00</c:formatCode>
                <c:ptCount val="194"/>
                <c:pt idx="0">
                  <c:v>-1468.8027773720598</c:v>
                </c:pt>
                <c:pt idx="1">
                  <c:v>-25089.585501490095</c:v>
                </c:pt>
                <c:pt idx="2">
                  <c:v>-36743.74636070172</c:v>
                </c:pt>
                <c:pt idx="3">
                  <c:v>-30044.869635113508</c:v>
                </c:pt>
                <c:pt idx="4">
                  <c:v>-23385.351879252605</c:v>
                </c:pt>
                <c:pt idx="5">
                  <c:v>-17747.985531103499</c:v>
                </c:pt>
                <c:pt idx="6">
                  <c:v>-28477.742454636395</c:v>
                </c:pt>
                <c:pt idx="7">
                  <c:v>-25706.208958090385</c:v>
                </c:pt>
                <c:pt idx="8">
                  <c:v>1133.4444205416148</c:v>
                </c:pt>
                <c:pt idx="9">
                  <c:v>46490.79610813922</c:v>
                </c:pt>
                <c:pt idx="10">
                  <c:v>56820.223992959254</c:v>
                </c:pt>
                <c:pt idx="11">
                  <c:v>82359.49009715041</c:v>
                </c:pt>
                <c:pt idx="12">
                  <c:v>84464.972528935774</c:v>
                </c:pt>
                <c:pt idx="13">
                  <c:v>88565.924144660297</c:v>
                </c:pt>
                <c:pt idx="14">
                  <c:v>91306.079904700207</c:v>
                </c:pt>
                <c:pt idx="15">
                  <c:v>91586.329728295997</c:v>
                </c:pt>
                <c:pt idx="16">
                  <c:v>92015.920271774405</c:v>
                </c:pt>
                <c:pt idx="17">
                  <c:v>81264.035475472963</c:v>
                </c:pt>
                <c:pt idx="18">
                  <c:v>62686.675264513899</c:v>
                </c:pt>
                <c:pt idx="19">
                  <c:v>43940.42996072783</c:v>
                </c:pt>
                <c:pt idx="20">
                  <c:v>37255.391554239111</c:v>
                </c:pt>
              </c:numCache>
            </c:numRef>
          </c:yVal>
          <c:smooth val="0"/>
          <c:extLst>
            <c:ext xmlns:c16="http://schemas.microsoft.com/office/drawing/2014/chart" uri="{C3380CC4-5D6E-409C-BE32-E72D297353CC}">
              <c16:uniqueId val="{00000000-6743-44A1-8551-C103E937EA76}"/>
            </c:ext>
          </c:extLst>
        </c:ser>
        <c:ser>
          <c:idx val="1"/>
          <c:order val="1"/>
          <c:tx>
            <c:strRef>
              <c:f>NASA_2_CORAL!$BU$5</c:f>
              <c:strCache>
                <c:ptCount val="1"/>
                <c:pt idx="0">
                  <c:v>EAz [Nm]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NASA_2_CORAL!$BU$6:$BU$195</c:f>
              <c:numCache>
                <c:formatCode>0.00E+00</c:formatCode>
                <c:ptCount val="190"/>
                <c:pt idx="0">
                  <c:v>-1468.8027773720598</c:v>
                </c:pt>
                <c:pt idx="1">
                  <c:v>-1468.8027773720598</c:v>
                </c:pt>
                <c:pt idx="2">
                  <c:v>-43359.057988023196</c:v>
                </c:pt>
                <c:pt idx="3">
                  <c:v>-36186.781041286406</c:v>
                </c:pt>
                <c:pt idx="4">
                  <c:v>-18183.778383866094</c:v>
                </c:pt>
                <c:pt idx="5">
                  <c:v>-17484.40229217894</c:v>
                </c:pt>
                <c:pt idx="6">
                  <c:v>-33305.667901056593</c:v>
                </c:pt>
                <c:pt idx="7">
                  <c:v>-18178.129142414669</c:v>
                </c:pt>
                <c:pt idx="8">
                  <c:v>45959.96875226203</c:v>
                </c:pt>
                <c:pt idx="9">
                  <c:v>46592.683794822304</c:v>
                </c:pt>
                <c:pt idx="10">
                  <c:v>45425.550510956666</c:v>
                </c:pt>
                <c:pt idx="11">
                  <c:v>64115.124312774227</c:v>
                </c:pt>
                <c:pt idx="12">
                  <c:v>83834.74313923603</c:v>
                </c:pt>
                <c:pt idx="13">
                  <c:v>84313.798814317357</c:v>
                </c:pt>
                <c:pt idx="14">
                  <c:v>84512.652113407734</c:v>
                </c:pt>
                <c:pt idx="15">
                  <c:v>90753.431914153043</c:v>
                </c:pt>
                <c:pt idx="16">
                  <c:v>91359.532752542131</c:v>
                </c:pt>
                <c:pt idx="17">
                  <c:v>91710.915570821118</c:v>
                </c:pt>
                <c:pt idx="18">
                  <c:v>94422.551467508019</c:v>
                </c:pt>
                <c:pt idx="19">
                  <c:v>92005.805974585819</c:v>
                </c:pt>
                <c:pt idx="20">
                  <c:v>94776.193982367593</c:v>
                </c:pt>
                <c:pt idx="21">
                  <c:v>43428.708129462415</c:v>
                </c:pt>
                <c:pt idx="22">
                  <c:v>45524.069468035748</c:v>
                </c:pt>
                <c:pt idx="23">
                  <c:v>37255.391554239104</c:v>
                </c:pt>
              </c:numCache>
            </c:numRef>
          </c:yVal>
          <c:smooth val="0"/>
          <c:extLst>
            <c:ext xmlns:c16="http://schemas.microsoft.com/office/drawing/2014/chart" uri="{C3380CC4-5D6E-409C-BE32-E72D297353CC}">
              <c16:uniqueId val="{00000001-6743-44A1-8551-C103E937EA76}"/>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NASA_2_CORAL!$DE$7:$DE$200</c:f>
              <c:numCache>
                <c:formatCode>0.00E+00</c:formatCode>
                <c:ptCount val="194"/>
                <c:pt idx="0">
                  <c:v>1815665.6178841188</c:v>
                </c:pt>
                <c:pt idx="1">
                  <c:v>1571103.6072682207</c:v>
                </c:pt>
                <c:pt idx="2">
                  <c:v>1189461.226680404</c:v>
                </c:pt>
                <c:pt idx="3">
                  <c:v>1096684.6424604999</c:v>
                </c:pt>
                <c:pt idx="4">
                  <c:v>1013650.2376039129</c:v>
                </c:pt>
                <c:pt idx="5">
                  <c:v>944305.58954613423</c:v>
                </c:pt>
                <c:pt idx="6">
                  <c:v>1067506.5375236974</c:v>
                </c:pt>
                <c:pt idx="7">
                  <c:v>1113378.9634880214</c:v>
                </c:pt>
                <c:pt idx="8">
                  <c:v>976219.02452924277</c:v>
                </c:pt>
                <c:pt idx="9">
                  <c:v>685397.7177819229</c:v>
                </c:pt>
                <c:pt idx="10">
                  <c:v>600527.14848011115</c:v>
                </c:pt>
                <c:pt idx="11">
                  <c:v>435084.17256793776</c:v>
                </c:pt>
                <c:pt idx="12">
                  <c:v>426445.66685777594</c:v>
                </c:pt>
                <c:pt idx="13">
                  <c:v>328483.48768778367</c:v>
                </c:pt>
                <c:pt idx="14">
                  <c:v>179842.04809939186</c:v>
                </c:pt>
                <c:pt idx="15">
                  <c:v>170018.010628121</c:v>
                </c:pt>
                <c:pt idx="16">
                  <c:v>171695.12268481535</c:v>
                </c:pt>
                <c:pt idx="17">
                  <c:v>135310.77686918364</c:v>
                </c:pt>
                <c:pt idx="18">
                  <c:v>88545.635618162894</c:v>
                </c:pt>
                <c:pt idx="19">
                  <c:v>41355.356719405361</c:v>
                </c:pt>
                <c:pt idx="20">
                  <c:v>35634.168298738055</c:v>
                </c:pt>
              </c:numCache>
            </c:numRef>
          </c:yVal>
          <c:smooth val="0"/>
          <c:extLst>
            <c:ext xmlns:c16="http://schemas.microsoft.com/office/drawing/2014/chart" uri="{C3380CC4-5D6E-409C-BE32-E72D297353CC}">
              <c16:uniqueId val="{00000000-FDC1-4CD1-AE0D-C8041935B96A}"/>
            </c:ext>
          </c:extLst>
        </c:ser>
        <c:ser>
          <c:idx val="1"/>
          <c:order val="1"/>
          <c:tx>
            <c:strRef>
              <c:f>NASA_2_CORAL!$BZ$5</c:f>
              <c:strCache>
                <c:ptCount val="1"/>
                <c:pt idx="0">
                  <c:v>GxA [N]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NASA_2_CORAL!$BZ$6:$BZ$195</c:f>
              <c:numCache>
                <c:formatCode>0.00E+00</c:formatCode>
                <c:ptCount val="190"/>
                <c:pt idx="0">
                  <c:v>1815665.6659267189</c:v>
                </c:pt>
                <c:pt idx="1">
                  <c:v>1815820.4587036716</c:v>
                </c:pt>
                <c:pt idx="2">
                  <c:v>1381827.5855330895</c:v>
                </c:pt>
                <c:pt idx="3">
                  <c:v>1173265.2564012944</c:v>
                </c:pt>
                <c:pt idx="4">
                  <c:v>948794.25623392547</c:v>
                </c:pt>
                <c:pt idx="5">
                  <c:v>941590.68200113752</c:v>
                </c:pt>
                <c:pt idx="6">
                  <c:v>1122804.7775491604</c:v>
                </c:pt>
                <c:pt idx="7">
                  <c:v>1104041.6828852161</c:v>
                </c:pt>
                <c:pt idx="8">
                  <c:v>679513.76194358338</c:v>
                </c:pt>
                <c:pt idx="9">
                  <c:v>686527.09184728761</c:v>
                </c:pt>
                <c:pt idx="10">
                  <c:v>683767.58174566727</c:v>
                </c:pt>
                <c:pt idx="11">
                  <c:v>547236.40134202619</c:v>
                </c:pt>
                <c:pt idx="12">
                  <c:v>426015.45959478826</c:v>
                </c:pt>
                <c:pt idx="13">
                  <c:v>424153.95943431626</c:v>
                </c:pt>
                <c:pt idx="14">
                  <c:v>427168.46220588055</c:v>
                </c:pt>
                <c:pt idx="15">
                  <c:v>275224.25741011102</c:v>
                </c:pt>
                <c:pt idx="16">
                  <c:v>170616.55409901691</c:v>
                </c:pt>
                <c:pt idx="17">
                  <c:v>169689.21416881369</c:v>
                </c:pt>
                <c:pt idx="18">
                  <c:v>169433.10411903265</c:v>
                </c:pt>
                <c:pt idx="19">
                  <c:v>171703.80668072865</c:v>
                </c:pt>
                <c:pt idx="20">
                  <c:v>169325.18978928958</c:v>
                </c:pt>
                <c:pt idx="21">
                  <c:v>40067.189646763836</c:v>
                </c:pt>
                <c:pt idx="22">
                  <c:v>35634.412487474066</c:v>
                </c:pt>
                <c:pt idx="23">
                  <c:v>35634.168298738048</c:v>
                </c:pt>
              </c:numCache>
            </c:numRef>
          </c:yVal>
          <c:smooth val="0"/>
          <c:extLst>
            <c:ext xmlns:c16="http://schemas.microsoft.com/office/drawing/2014/chart" uri="{C3380CC4-5D6E-409C-BE32-E72D297353CC}">
              <c16:uniqueId val="{00000001-FDC1-4CD1-AE0D-C8041935B96A}"/>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NASA_2_CORAL!$DF$7:$DF$200</c:f>
              <c:numCache>
                <c:formatCode>0.00E+00</c:formatCode>
                <c:ptCount val="194"/>
                <c:pt idx="0">
                  <c:v>1614990.3360170943</c:v>
                </c:pt>
                <c:pt idx="1">
                  <c:v>1396791.9954196201</c:v>
                </c:pt>
                <c:pt idx="2">
                  <c:v>1056638.1017075372</c:v>
                </c:pt>
                <c:pt idx="3">
                  <c:v>973677.89181847253</c:v>
                </c:pt>
                <c:pt idx="4">
                  <c:v>899383.03040394373</c:v>
                </c:pt>
                <c:pt idx="5">
                  <c:v>837286.65259652107</c:v>
                </c:pt>
                <c:pt idx="6">
                  <c:v>946058.51916683861</c:v>
                </c:pt>
                <c:pt idx="7">
                  <c:v>986337.73716530961</c:v>
                </c:pt>
                <c:pt idx="8">
                  <c:v>864569.38225356396</c:v>
                </c:pt>
                <c:pt idx="9">
                  <c:v>606821.86678250995</c:v>
                </c:pt>
                <c:pt idx="10">
                  <c:v>531596.47234446229</c:v>
                </c:pt>
                <c:pt idx="11">
                  <c:v>385090.34457640187</c:v>
                </c:pt>
                <c:pt idx="12">
                  <c:v>377428.97496559744</c:v>
                </c:pt>
                <c:pt idx="13">
                  <c:v>290739.89902961976</c:v>
                </c:pt>
                <c:pt idx="14">
                  <c:v>159192.64426205563</c:v>
                </c:pt>
                <c:pt idx="15">
                  <c:v>150526.8317893419</c:v>
                </c:pt>
                <c:pt idx="16">
                  <c:v>152031.77071000138</c:v>
                </c:pt>
                <c:pt idx="17">
                  <c:v>119821.31247717874</c:v>
                </c:pt>
                <c:pt idx="18">
                  <c:v>78414.939388306782</c:v>
                </c:pt>
                <c:pt idx="19">
                  <c:v>36632.144725899387</c:v>
                </c:pt>
                <c:pt idx="20">
                  <c:v>31567.074693985545</c:v>
                </c:pt>
              </c:numCache>
            </c:numRef>
          </c:yVal>
          <c:smooth val="0"/>
          <c:extLst>
            <c:ext xmlns:c16="http://schemas.microsoft.com/office/drawing/2014/chart" uri="{C3380CC4-5D6E-409C-BE32-E72D297353CC}">
              <c16:uniqueId val="{00000000-9C4E-4E54-8AA9-52B0EC989EC8}"/>
            </c:ext>
          </c:extLst>
        </c:ser>
        <c:ser>
          <c:idx val="1"/>
          <c:order val="1"/>
          <c:tx>
            <c:strRef>
              <c:f>NASA_2_CORAL!$CA$5</c:f>
              <c:strCache>
                <c:ptCount val="1"/>
                <c:pt idx="0">
                  <c:v>GzA [N]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NASA_2_CORAL!$CA$6:$CA$195</c:f>
              <c:numCache>
                <c:formatCode>0.00E+00</c:formatCode>
                <c:ptCount val="190"/>
                <c:pt idx="0">
                  <c:v>1614990.2879744943</c:v>
                </c:pt>
                <c:pt idx="1">
                  <c:v>1614835.4951975415</c:v>
                </c:pt>
                <c:pt idx="2">
                  <c:v>1228146.4527809029</c:v>
                </c:pt>
                <c:pt idx="3">
                  <c:v>1042198.2372053947</c:v>
                </c:pt>
                <c:pt idx="4">
                  <c:v>841353.27567626536</c:v>
                </c:pt>
                <c:pt idx="5">
                  <c:v>834827.01225123007</c:v>
                </c:pt>
                <c:pt idx="6">
                  <c:v>994907.86019928113</c:v>
                </c:pt>
                <c:pt idx="7">
                  <c:v>977848.11037554813</c:v>
                </c:pt>
                <c:pt idx="8">
                  <c:v>601623.86691933242</c:v>
                </c:pt>
                <c:pt idx="9">
                  <c:v>607819.5775741156</c:v>
                </c:pt>
                <c:pt idx="10">
                  <c:v>605355.51082558313</c:v>
                </c:pt>
                <c:pt idx="11">
                  <c:v>484375.73940682918</c:v>
                </c:pt>
                <c:pt idx="12">
                  <c:v>377062.0534047957</c:v>
                </c:pt>
                <c:pt idx="13">
                  <c:v>375400.82843006356</c:v>
                </c:pt>
                <c:pt idx="14">
                  <c:v>378068.64426463272</c:v>
                </c:pt>
                <c:pt idx="15">
                  <c:v>243609.50481262722</c:v>
                </c:pt>
                <c:pt idx="16">
                  <c:v>151027.73336129429</c:v>
                </c:pt>
                <c:pt idx="17">
                  <c:v>150251.67272182609</c:v>
                </c:pt>
                <c:pt idx="18">
                  <c:v>150021.11700730069</c:v>
                </c:pt>
                <c:pt idx="19">
                  <c:v>152039.44259997169</c:v>
                </c:pt>
                <c:pt idx="20">
                  <c:v>149938.04973258291</c:v>
                </c:pt>
                <c:pt idx="21">
                  <c:v>35491.587358087949</c:v>
                </c:pt>
                <c:pt idx="22">
                  <c:v>31566.830505249527</c:v>
                </c:pt>
                <c:pt idx="23">
                  <c:v>31567.074693985542</c:v>
                </c:pt>
              </c:numCache>
            </c:numRef>
          </c:yVal>
          <c:smooth val="0"/>
          <c:extLst>
            <c:ext xmlns:c16="http://schemas.microsoft.com/office/drawing/2014/chart" uri="{C3380CC4-5D6E-409C-BE32-E72D297353CC}">
              <c16:uniqueId val="{00000001-9C4E-4E54-8AA9-52B0EC989EC8}"/>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NASA_2_CORAL!$DG$7:$DG$200</c:f>
              <c:numCache>
                <c:formatCode>0.00E+00</c:formatCode>
                <c:ptCount val="194"/>
                <c:pt idx="0">
                  <c:v>648.67647253792052</c:v>
                </c:pt>
                <c:pt idx="1">
                  <c:v>1350.3031055751044</c:v>
                </c:pt>
                <c:pt idx="2">
                  <c:v>3237.4953927887304</c:v>
                </c:pt>
                <c:pt idx="3">
                  <c:v>3315.9766092129021</c:v>
                </c:pt>
                <c:pt idx="4">
                  <c:v>3278.4499823542224</c:v>
                </c:pt>
                <c:pt idx="5">
                  <c:v>2593.5712235339188</c:v>
                </c:pt>
                <c:pt idx="6">
                  <c:v>2914.8856744035338</c:v>
                </c:pt>
                <c:pt idx="7">
                  <c:v>3188.7624600173622</c:v>
                </c:pt>
                <c:pt idx="8">
                  <c:v>2795.1290916281109</c:v>
                </c:pt>
                <c:pt idx="9">
                  <c:v>2066.5637796530418</c:v>
                </c:pt>
                <c:pt idx="10">
                  <c:v>1725.0789399114963</c:v>
                </c:pt>
                <c:pt idx="11">
                  <c:v>1201.6037906452382</c:v>
                </c:pt>
                <c:pt idx="12">
                  <c:v>1186.5086990657298</c:v>
                </c:pt>
                <c:pt idx="13">
                  <c:v>771.9276739646084</c:v>
                </c:pt>
                <c:pt idx="14">
                  <c:v>285.53625638346085</c:v>
                </c:pt>
                <c:pt idx="15">
                  <c:v>254.9561891521127</c:v>
                </c:pt>
                <c:pt idx="16">
                  <c:v>258.88869128294493</c:v>
                </c:pt>
                <c:pt idx="17">
                  <c:v>212.47416036079775</c:v>
                </c:pt>
                <c:pt idx="18">
                  <c:v>124.93133121968052</c:v>
                </c:pt>
                <c:pt idx="19">
                  <c:v>36.59265817727993</c:v>
                </c:pt>
                <c:pt idx="20">
                  <c:v>23.199397778334987</c:v>
                </c:pt>
              </c:numCache>
            </c:numRef>
          </c:yVal>
          <c:smooth val="0"/>
          <c:extLst>
            <c:ext xmlns:c16="http://schemas.microsoft.com/office/drawing/2014/chart" uri="{C3380CC4-5D6E-409C-BE32-E72D297353CC}">
              <c16:uniqueId val="{00000000-BEA2-4DF6-AB42-5B65B4BC9E33}"/>
            </c:ext>
          </c:extLst>
        </c:ser>
        <c:ser>
          <c:idx val="1"/>
          <c:order val="1"/>
          <c:tx>
            <c:strRef>
              <c:f>NASA_2_CORAL!$CB$5</c:f>
              <c:strCache>
                <c:ptCount val="1"/>
                <c:pt idx="0">
                  <c:v>GxAX [Nm]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NASA_2_CORAL!$CB$6:$CB$195</c:f>
              <c:numCache>
                <c:formatCode>0.00E+00</c:formatCode>
                <c:ptCount val="190"/>
                <c:pt idx="0">
                  <c:v>648.6759554306359</c:v>
                </c:pt>
                <c:pt idx="1">
                  <c:v>647.00984093069474</c:v>
                </c:pt>
                <c:pt idx="2">
                  <c:v>1894.2646287157324</c:v>
                </c:pt>
                <c:pt idx="3">
                  <c:v>3350.5865053027014</c:v>
                </c:pt>
                <c:pt idx="4">
                  <c:v>3249.138924888</c:v>
                </c:pt>
                <c:pt idx="5">
                  <c:v>2197.0602276287832</c:v>
                </c:pt>
                <c:pt idx="6">
                  <c:v>3230.131786081849</c:v>
                </c:pt>
                <c:pt idx="7">
                  <c:v>3147.7817019303116</c:v>
                </c:pt>
                <c:pt idx="8">
                  <c:v>1976.5427260571666</c:v>
                </c:pt>
                <c:pt idx="9">
                  <c:v>2083.8425366765955</c:v>
                </c:pt>
                <c:pt idx="10">
                  <c:v>1988.3068369359223</c:v>
                </c:pt>
                <c:pt idx="11">
                  <c:v>1556.5597389690017</c:v>
                </c:pt>
                <c:pt idx="12">
                  <c:v>1172.901787585233</c:v>
                </c:pt>
                <c:pt idx="13">
                  <c:v>1164.0494653431338</c:v>
                </c:pt>
                <c:pt idx="14">
                  <c:v>1193.5922514819365</c:v>
                </c:pt>
                <c:pt idx="15">
                  <c:v>544.35978996201709</c:v>
                </c:pt>
                <c:pt idx="16">
                  <c:v>260.50250036711242</c:v>
                </c:pt>
                <c:pt idx="17">
                  <c:v>251.90944722210946</c:v>
                </c:pt>
                <c:pt idx="18">
                  <c:v>230.079893339227</c:v>
                </c:pt>
                <c:pt idx="19">
                  <c:v>258.82544894085675</c:v>
                </c:pt>
                <c:pt idx="20">
                  <c:v>276.14803921463852</c:v>
                </c:pt>
                <c:pt idx="21">
                  <c:v>34.181251156393245</c:v>
                </c:pt>
                <c:pt idx="22">
                  <c:v>22.733581026010782</c:v>
                </c:pt>
                <c:pt idx="23">
                  <c:v>23.199397778334983</c:v>
                </c:pt>
              </c:numCache>
            </c:numRef>
          </c:yVal>
          <c:smooth val="0"/>
          <c:extLst>
            <c:ext xmlns:c16="http://schemas.microsoft.com/office/drawing/2014/chart" uri="{C3380CC4-5D6E-409C-BE32-E72D297353CC}">
              <c16:uniqueId val="{00000001-BEA2-4DF6-AB42-5B65B4BC9E33}"/>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NASA_2_CORAL!$DH$7:$DH$200</c:f>
              <c:numCache>
                <c:formatCode>0.00E+00</c:formatCode>
                <c:ptCount val="194"/>
                <c:pt idx="0">
                  <c:v>5218.6369212505742</c:v>
                </c:pt>
                <c:pt idx="1">
                  <c:v>2256.507332164299</c:v>
                </c:pt>
                <c:pt idx="2">
                  <c:v>797.18325228445258</c:v>
                </c:pt>
                <c:pt idx="3">
                  <c:v>1173.0601274036683</c:v>
                </c:pt>
                <c:pt idx="4">
                  <c:v>1504.7327586487916</c:v>
                </c:pt>
                <c:pt idx="5">
                  <c:v>1853.8640103468956</c:v>
                </c:pt>
                <c:pt idx="6">
                  <c:v>1179.5363361661368</c:v>
                </c:pt>
                <c:pt idx="7">
                  <c:v>936.64884909864577</c:v>
                </c:pt>
                <c:pt idx="8">
                  <c:v>1253.5947577136394</c:v>
                </c:pt>
                <c:pt idx="9">
                  <c:v>1827.5573255051081</c:v>
                </c:pt>
                <c:pt idx="10">
                  <c:v>1852.9462643829249</c:v>
                </c:pt>
                <c:pt idx="11">
                  <c:v>2612.3240233424808</c:v>
                </c:pt>
                <c:pt idx="12">
                  <c:v>2686.6331328779038</c:v>
                </c:pt>
                <c:pt idx="13">
                  <c:v>1823.1946998850851</c:v>
                </c:pt>
                <c:pt idx="14">
                  <c:v>1220.7129095470477</c:v>
                </c:pt>
                <c:pt idx="15">
                  <c:v>1208.2091660079498</c:v>
                </c:pt>
                <c:pt idx="16">
                  <c:v>1265.4877141292075</c:v>
                </c:pt>
                <c:pt idx="17">
                  <c:v>978.77493140658521</c:v>
                </c:pt>
                <c:pt idx="18">
                  <c:v>525.28371428097478</c:v>
                </c:pt>
                <c:pt idx="19">
                  <c:v>67.669849726947177</c:v>
                </c:pt>
                <c:pt idx="20">
                  <c:v>270.83207144966758</c:v>
                </c:pt>
              </c:numCache>
            </c:numRef>
          </c:yVal>
          <c:smooth val="0"/>
          <c:extLst>
            <c:ext xmlns:c16="http://schemas.microsoft.com/office/drawing/2014/chart" uri="{C3380CC4-5D6E-409C-BE32-E72D297353CC}">
              <c16:uniqueId val="{00000000-13D7-4ECC-BA92-066D3F8FDA89}"/>
            </c:ext>
          </c:extLst>
        </c:ser>
        <c:ser>
          <c:idx val="1"/>
          <c:order val="1"/>
          <c:tx>
            <c:strRef>
              <c:f>NASA_2_CORAL!$CC$5</c:f>
              <c:strCache>
                <c:ptCount val="1"/>
                <c:pt idx="0">
                  <c:v> + GzAZ [Nm]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NASA_2_CORAL!$CC$6:$CC$195</c:f>
              <c:numCache>
                <c:formatCode>0.00E+00</c:formatCode>
                <c:ptCount val="190"/>
                <c:pt idx="0">
                  <c:v>5218.6367160305972</c:v>
                </c:pt>
                <c:pt idx="1">
                  <c:v>5217.975499316999</c:v>
                </c:pt>
                <c:pt idx="2">
                  <c:v>-34.037474562042604</c:v>
                </c:pt>
                <c:pt idx="3">
                  <c:v>867.1665189412555</c:v>
                </c:pt>
                <c:pt idx="4">
                  <c:v>1763.7934941369442</c:v>
                </c:pt>
                <c:pt idx="5">
                  <c:v>1908.3419079161781</c:v>
                </c:pt>
                <c:pt idx="6">
                  <c:v>859.46810273140488</c:v>
                </c:pt>
                <c:pt idx="7">
                  <c:v>1013.1046630252132</c:v>
                </c:pt>
                <c:pt idx="8">
                  <c:v>1811.8265893116336</c:v>
                </c:pt>
                <c:pt idx="9">
                  <c:v>1830.5767032798772</c:v>
                </c:pt>
                <c:pt idx="10">
                  <c:v>1853.0935528678876</c:v>
                </c:pt>
                <c:pt idx="11">
                  <c:v>1852.8519699024596</c:v>
                </c:pt>
                <c:pt idx="12">
                  <c:v>2673.7355007519004</c:v>
                </c:pt>
                <c:pt idx="13">
                  <c:v>2679.5820115302417</c:v>
                </c:pt>
                <c:pt idx="14">
                  <c:v>2688.8570283267031</c:v>
                </c:pt>
                <c:pt idx="15">
                  <c:v>1356.0059559215977</c:v>
                </c:pt>
                <c:pt idx="16">
                  <c:v>1207.6271863640704</c:v>
                </c:pt>
                <c:pt idx="17">
                  <c:v>1208.5288634996125</c:v>
                </c:pt>
                <c:pt idx="18">
                  <c:v>1229.6763180543048</c:v>
                </c:pt>
                <c:pt idx="19">
                  <c:v>1265.3296682835607</c:v>
                </c:pt>
                <c:pt idx="20">
                  <c:v>1308.6197068591828</c:v>
                </c:pt>
                <c:pt idx="21">
                  <c:v>55.178228018853233</c:v>
                </c:pt>
                <c:pt idx="22">
                  <c:v>332.40402983307558</c:v>
                </c:pt>
                <c:pt idx="23">
                  <c:v>270.83207144966752</c:v>
                </c:pt>
              </c:numCache>
            </c:numRef>
          </c:yVal>
          <c:smooth val="0"/>
          <c:extLst>
            <c:ext xmlns:c16="http://schemas.microsoft.com/office/drawing/2014/chart" uri="{C3380CC4-5D6E-409C-BE32-E72D297353CC}">
              <c16:uniqueId val="{00000001-13D7-4ECC-BA92-066D3F8FDA89}"/>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NASA_2_CORAL!$CX$7:$CX$200</c:f>
              <c:numCache>
                <c:formatCode>0.00E+00</c:formatCode>
                <c:ptCount val="194"/>
                <c:pt idx="0">
                  <c:v>57826880.998899996</c:v>
                </c:pt>
                <c:pt idx="1">
                  <c:v>43730617.470660552</c:v>
                </c:pt>
                <c:pt idx="2">
                  <c:v>28314802.52746474</c:v>
                </c:pt>
                <c:pt idx="3">
                  <c:v>27798251.612222262</c:v>
                </c:pt>
                <c:pt idx="4">
                  <c:v>27650161.261665121</c:v>
                </c:pt>
                <c:pt idx="5">
                  <c:v>27534491.798706997</c:v>
                </c:pt>
                <c:pt idx="6">
                  <c:v>26267252.251442503</c:v>
                </c:pt>
                <c:pt idx="7">
                  <c:v>24392303.838737138</c:v>
                </c:pt>
                <c:pt idx="8">
                  <c:v>22470177.80752987</c:v>
                </c:pt>
                <c:pt idx="9">
                  <c:v>21077407.373937417</c:v>
                </c:pt>
                <c:pt idx="10">
                  <c:v>20362089.46121813</c:v>
                </c:pt>
                <c:pt idx="11">
                  <c:v>18940326.334258877</c:v>
                </c:pt>
                <c:pt idx="12">
                  <c:v>18894276.245735459</c:v>
                </c:pt>
                <c:pt idx="13">
                  <c:v>17238929.742110338</c:v>
                </c:pt>
                <c:pt idx="14">
                  <c:v>14054961.873543644</c:v>
                </c:pt>
                <c:pt idx="15">
                  <c:v>13833969.223582998</c:v>
                </c:pt>
                <c:pt idx="16">
                  <c:v>13878613.8380544</c:v>
                </c:pt>
                <c:pt idx="17">
                  <c:v>11769111.766538538</c:v>
                </c:pt>
                <c:pt idx="18">
                  <c:v>8807902.7895793393</c:v>
                </c:pt>
                <c:pt idx="19">
                  <c:v>5819773.7310114065</c:v>
                </c:pt>
                <c:pt idx="20">
                  <c:v>4239155.1993809007</c:v>
                </c:pt>
              </c:numCache>
            </c:numRef>
          </c:yVal>
          <c:smooth val="0"/>
          <c:extLst>
            <c:ext xmlns:c16="http://schemas.microsoft.com/office/drawing/2014/chart" uri="{C3380CC4-5D6E-409C-BE32-E72D297353CC}">
              <c16:uniqueId val="{00000000-1ABA-4F65-A9BE-7CCF355C2478}"/>
            </c:ext>
          </c:extLst>
        </c:ser>
        <c:ser>
          <c:idx val="1"/>
          <c:order val="1"/>
          <c:tx>
            <c:strRef>
              <c:f>NASA_2_CORAL!$BS$5</c:f>
              <c:strCache>
                <c:ptCount val="1"/>
                <c:pt idx="0">
                  <c:v>EA [N]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NASA_2_CORAL!$BS$6:$BS$195</c:f>
              <c:numCache>
                <c:formatCode>0.00E+00</c:formatCode>
                <c:ptCount val="190"/>
                <c:pt idx="0">
                  <c:v>57826880.998899996</c:v>
                </c:pt>
                <c:pt idx="1">
                  <c:v>57826880.998899996</c:v>
                </c:pt>
                <c:pt idx="2">
                  <c:v>32827875.520913996</c:v>
                </c:pt>
                <c:pt idx="3">
                  <c:v>27934831.744083997</c:v>
                </c:pt>
                <c:pt idx="4">
                  <c:v>27534491.798706997</c:v>
                </c:pt>
                <c:pt idx="5">
                  <c:v>27534491.798706997</c:v>
                </c:pt>
                <c:pt idx="6">
                  <c:v>25710720.936433997</c:v>
                </c:pt>
                <c:pt idx="7">
                  <c:v>23086270.183406997</c:v>
                </c:pt>
                <c:pt idx="8">
                  <c:v>21040088.240369</c:v>
                </c:pt>
                <c:pt idx="9">
                  <c:v>21084570.456521999</c:v>
                </c:pt>
                <c:pt idx="10">
                  <c:v>21040088.240369</c:v>
                </c:pt>
                <c:pt idx="11">
                  <c:v>19928032.836544</c:v>
                </c:pt>
                <c:pt idx="12">
                  <c:v>18860459.648871999</c:v>
                </c:pt>
                <c:pt idx="13">
                  <c:v>18860459.648871999</c:v>
                </c:pt>
                <c:pt idx="14">
                  <c:v>18904941.865024999</c:v>
                </c:pt>
                <c:pt idx="15">
                  <c:v>16339800.733535333</c:v>
                </c:pt>
                <c:pt idx="16">
                  <c:v>13833969.223582998</c:v>
                </c:pt>
                <c:pt idx="17">
                  <c:v>13833969.223582998</c:v>
                </c:pt>
                <c:pt idx="18">
                  <c:v>13922933.655888999</c:v>
                </c:pt>
                <c:pt idx="19">
                  <c:v>13878451.439735999</c:v>
                </c:pt>
                <c:pt idx="20">
                  <c:v>13922933.655888999</c:v>
                </c:pt>
                <c:pt idx="21">
                  <c:v>5738205.8837369997</c:v>
                </c:pt>
                <c:pt idx="22">
                  <c:v>4239155.1993808998</c:v>
                </c:pt>
                <c:pt idx="23">
                  <c:v>4239155.1993808998</c:v>
                </c:pt>
              </c:numCache>
            </c:numRef>
          </c:yVal>
          <c:smooth val="0"/>
          <c:extLst>
            <c:ext xmlns:c16="http://schemas.microsoft.com/office/drawing/2014/chart" uri="{C3380CC4-5D6E-409C-BE32-E72D297353CC}">
              <c16:uniqueId val="{00000001-1ABA-4F65-A9BE-7CCF355C2478}"/>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NASA_2_CORAL!$CP$3</c:f>
              <c:strCache>
                <c:ptCount val="1"/>
                <c:pt idx="0">
                  <c:v>Interpolation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NASA_2_CORAL!$CO$7:$CO$200</c:f>
              <c:numCache>
                <c:formatCode>General</c:formatCode>
                <c:ptCount val="194"/>
                <c:pt idx="0">
                  <c:v>0.14729999999999999</c:v>
                </c:pt>
                <c:pt idx="1">
                  <c:v>0.247</c:v>
                </c:pt>
                <c:pt idx="2">
                  <c:v>0.33189999999999997</c:v>
                </c:pt>
                <c:pt idx="3">
                  <c:v>0.41570000000000001</c:v>
                </c:pt>
                <c:pt idx="4">
                  <c:v>0.50129999999999997</c:v>
                </c:pt>
                <c:pt idx="5">
                  <c:v>0.58499999999999996</c:v>
                </c:pt>
                <c:pt idx="6">
                  <c:v>0.67030000000000001</c:v>
                </c:pt>
                <c:pt idx="7">
                  <c:v>0.75419999999999998</c:v>
                </c:pt>
                <c:pt idx="8">
                  <c:v>0.83819999999999995</c:v>
                </c:pt>
                <c:pt idx="9">
                  <c:v>0.92320000000000002</c:v>
                </c:pt>
                <c:pt idx="10">
                  <c:v>1.0081</c:v>
                </c:pt>
                <c:pt idx="11">
                  <c:v>1.0920000000000001</c:v>
                </c:pt>
                <c:pt idx="12">
                  <c:v>1.1758999999999999</c:v>
                </c:pt>
                <c:pt idx="13">
                  <c:v>1.2613000000000001</c:v>
                </c:pt>
                <c:pt idx="14">
                  <c:v>1.3448</c:v>
                </c:pt>
                <c:pt idx="15">
                  <c:v>1.4292</c:v>
                </c:pt>
                <c:pt idx="16">
                  <c:v>1.482</c:v>
                </c:pt>
                <c:pt idx="17">
                  <c:v>1.5161</c:v>
                </c:pt>
                <c:pt idx="18">
                  <c:v>1.5490999999999999</c:v>
                </c:pt>
                <c:pt idx="19">
                  <c:v>1.5824</c:v>
                </c:pt>
                <c:pt idx="20" formatCode="0.0000">
                  <c:v>1.6002000000000001</c:v>
                </c:pt>
              </c:numCache>
            </c:numRef>
          </c:xVal>
          <c:yVal>
            <c:numRef>
              <c:f>NASA_2_CORAL!$DD$7:$DD$200</c:f>
              <c:numCache>
                <c:formatCode>0.00E+00</c:formatCode>
                <c:ptCount val="194"/>
                <c:pt idx="0">
                  <c:v>786.32921610758365</c:v>
                </c:pt>
                <c:pt idx="1">
                  <c:v>724.83720109701426</c:v>
                </c:pt>
                <c:pt idx="2">
                  <c:v>619.04317568008526</c:v>
                </c:pt>
                <c:pt idx="3">
                  <c:v>570.08231773200839</c:v>
                </c:pt>
                <c:pt idx="4">
                  <c:v>522.31133244928583</c:v>
                </c:pt>
                <c:pt idx="5">
                  <c:v>483.21044793475335</c:v>
                </c:pt>
                <c:pt idx="6">
                  <c:v>573.85648255386729</c:v>
                </c:pt>
                <c:pt idx="7">
                  <c:v>617.02369251457731</c:v>
                </c:pt>
                <c:pt idx="8">
                  <c:v>532.60758798412144</c:v>
                </c:pt>
                <c:pt idx="9">
                  <c:v>332.4363668138991</c:v>
                </c:pt>
                <c:pt idx="10">
                  <c:v>279.75481215103724</c:v>
                </c:pt>
                <c:pt idx="11">
                  <c:v>190.30726299731683</c:v>
                </c:pt>
                <c:pt idx="12">
                  <c:v>186.33152179802639</c:v>
                </c:pt>
                <c:pt idx="13">
                  <c:v>143.91695587557757</c:v>
                </c:pt>
                <c:pt idx="14">
                  <c:v>82.100150206068975</c:v>
                </c:pt>
                <c:pt idx="15">
                  <c:v>78.345940145025665</c:v>
                </c:pt>
                <c:pt idx="16">
                  <c:v>79.21002772919671</c:v>
                </c:pt>
                <c:pt idx="17">
                  <c:v>62.116831773514463</c:v>
                </c:pt>
                <c:pt idx="18">
                  <c:v>37.436678685700528</c:v>
                </c:pt>
                <c:pt idx="19">
                  <c:v>12.532160569815417</c:v>
                </c:pt>
                <c:pt idx="20">
                  <c:v>7.260631083037179</c:v>
                </c:pt>
              </c:numCache>
            </c:numRef>
          </c:yVal>
          <c:smooth val="0"/>
          <c:extLst>
            <c:ext xmlns:c16="http://schemas.microsoft.com/office/drawing/2014/chart" uri="{C3380CC4-5D6E-409C-BE32-E72D297353CC}">
              <c16:uniqueId val="{00000000-E8DA-4CC9-91DE-18C796253F9A}"/>
            </c:ext>
          </c:extLst>
        </c:ser>
        <c:ser>
          <c:idx val="1"/>
          <c:order val="1"/>
          <c:tx>
            <c:strRef>
              <c:f>NASA_2_CORAL!$BY$5</c:f>
              <c:strCache>
                <c:ptCount val="1"/>
                <c:pt idx="0">
                  <c:v>Git [Nm^2]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NASA_2_CORAL!$BY$6:$BY$195</c:f>
              <c:numCache>
                <c:formatCode>0.00E+00</c:formatCode>
                <c:ptCount val="190"/>
                <c:pt idx="0">
                  <c:v>786.32921610758365</c:v>
                </c:pt>
                <c:pt idx="1">
                  <c:v>786.32921610758365</c:v>
                </c:pt>
                <c:pt idx="2">
                  <c:v>677.27625912915971</c:v>
                </c:pt>
                <c:pt idx="3">
                  <c:v>614.14033666796684</c:v>
                </c:pt>
                <c:pt idx="4">
                  <c:v>484.99867708825417</c:v>
                </c:pt>
                <c:pt idx="5">
                  <c:v>482.1288624309272</c:v>
                </c:pt>
                <c:pt idx="6">
                  <c:v>614.14033666796684</c:v>
                </c:pt>
                <c:pt idx="7">
                  <c:v>619.87996598262066</c:v>
                </c:pt>
                <c:pt idx="8">
                  <c:v>330.028685592599</c:v>
                </c:pt>
                <c:pt idx="9">
                  <c:v>332.89850024992592</c:v>
                </c:pt>
                <c:pt idx="10">
                  <c:v>330.028685592599</c:v>
                </c:pt>
                <c:pt idx="11">
                  <c:v>247.56934443873803</c:v>
                </c:pt>
                <c:pt idx="12">
                  <c:v>185.67700832905351</c:v>
                </c:pt>
                <c:pt idx="13">
                  <c:v>185.67700832905351</c:v>
                </c:pt>
                <c:pt idx="14">
                  <c:v>186.5379527262516</c:v>
                </c:pt>
                <c:pt idx="15">
                  <c:v>120.91485756204207</c:v>
                </c:pt>
                <c:pt idx="16">
                  <c:v>78.345940145025665</c:v>
                </c:pt>
                <c:pt idx="17">
                  <c:v>78.345940145025665</c:v>
                </c:pt>
                <c:pt idx="18">
                  <c:v>78.919903076491053</c:v>
                </c:pt>
                <c:pt idx="19">
                  <c:v>79.206884542223747</c:v>
                </c:pt>
                <c:pt idx="20">
                  <c:v>80.067828939421844</c:v>
                </c:pt>
                <c:pt idx="21">
                  <c:v>11.852334534760296</c:v>
                </c:pt>
                <c:pt idx="22">
                  <c:v>7.2606310830371781</c:v>
                </c:pt>
                <c:pt idx="23">
                  <c:v>7.2606310830371781</c:v>
                </c:pt>
              </c:numCache>
            </c:numRef>
          </c:yVal>
          <c:smooth val="0"/>
          <c:extLst>
            <c:ext xmlns:c16="http://schemas.microsoft.com/office/drawing/2014/chart" uri="{C3380CC4-5D6E-409C-BE32-E72D297353CC}">
              <c16:uniqueId val="{00000001-E8DA-4CC9-91DE-18C796253F9A}"/>
            </c:ext>
          </c:extLst>
        </c:ser>
        <c:dLbls>
          <c:showLegendKey val="0"/>
          <c:showVal val="0"/>
          <c:showCatName val="0"/>
          <c:showSerName val="0"/>
          <c:showPercent val="0"/>
          <c:showBubbleSize val="0"/>
        </c:dLbls>
        <c:axId val="1885802976"/>
        <c:axId val="1885817376"/>
      </c:scatterChart>
      <c:valAx>
        <c:axId val="188580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17376"/>
        <c:crosses val="autoZero"/>
        <c:crossBetween val="midCat"/>
      </c:valAx>
      <c:valAx>
        <c:axId val="188581737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8858029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150"/>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65048118985126"/>
          <c:y val="0.1568292505103529"/>
          <c:w val="0.81175240594925635"/>
          <c:h val="0.73577136191309422"/>
        </c:manualLayout>
      </c:layout>
      <c:scatterChart>
        <c:scatterStyle val="lineMarker"/>
        <c:varyColors val="0"/>
        <c:ser>
          <c:idx val="0"/>
          <c:order val="0"/>
          <c:tx>
            <c:strRef>
              <c:f>NASA_2_CORAL!$AT$4</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NASA_2_CORAL!$D$6:$D$29</c:f>
              <c:numCache>
                <c:formatCode>0.00</c:formatCode>
                <c:ptCount val="24"/>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NASA_2_CORAL!$AS$6:$AS$29</c:f>
              <c:numCache>
                <c:formatCode>0.00E+00</c:formatCode>
                <c:ptCount val="24"/>
                <c:pt idx="0">
                  <c:v>1819921.1462768631</c:v>
                </c:pt>
                <c:pt idx="1">
                  <c:v>1819921.1462768631</c:v>
                </c:pt>
                <c:pt idx="2">
                  <c:v>1384559.398373886</c:v>
                </c:pt>
                <c:pt idx="3">
                  <c:v>1175276.3655108653</c:v>
                </c:pt>
                <c:pt idx="4">
                  <c:v>949651.43461089395</c:v>
                </c:pt>
                <c:pt idx="5">
                  <c:v>942367.9231704633</c:v>
                </c:pt>
                <c:pt idx="6">
                  <c:v>1123420.7285616733</c:v>
                </c:pt>
                <c:pt idx="7">
                  <c:v>1104417.1464249177</c:v>
                </c:pt>
                <c:pt idx="8">
                  <c:v>679627.88848215656</c:v>
                </c:pt>
                <c:pt idx="9">
                  <c:v>686635.12341257371</c:v>
                </c:pt>
                <c:pt idx="10">
                  <c:v>683864.07959572424</c:v>
                </c:pt>
                <c:pt idx="11">
                  <c:v>547257.66003140493</c:v>
                </c:pt>
                <c:pt idx="12">
                  <c:v>426022.82701807201</c:v>
                </c:pt>
                <c:pt idx="13">
                  <c:v>424154.06429390883</c:v>
                </c:pt>
                <c:pt idx="14">
                  <c:v>427168.46501789422</c:v>
                </c:pt>
                <c:pt idx="15">
                  <c:v>275234.98361815989</c:v>
                </c:pt>
                <c:pt idx="16">
                  <c:v>170628.3720063846</c:v>
                </c:pt>
                <c:pt idx="17">
                  <c:v>169724.73877735157</c:v>
                </c:pt>
                <c:pt idx="18">
                  <c:v>169466.56852433539</c:v>
                </c:pt>
                <c:pt idx="19">
                  <c:v>171741.84565500569</c:v>
                </c:pt>
                <c:pt idx="20">
                  <c:v>169365.25511221285</c:v>
                </c:pt>
                <c:pt idx="21">
                  <c:v>40083.009752573809</c:v>
                </c:pt>
                <c:pt idx="22">
                  <c:v>35649.4398802863</c:v>
                </c:pt>
                <c:pt idx="23">
                  <c:v>35649.4398802863</c:v>
                </c:pt>
              </c:numCache>
            </c:numRef>
          </c:yVal>
          <c:smooth val="0"/>
          <c:extLst>
            <c:ext xmlns:c16="http://schemas.microsoft.com/office/drawing/2014/chart" uri="{C3380CC4-5D6E-409C-BE32-E72D297353CC}">
              <c16:uniqueId val="{00000000-D38B-489B-920D-C299E6E3AFDF}"/>
            </c:ext>
          </c:extLst>
        </c:ser>
        <c:ser>
          <c:idx val="1"/>
          <c:order val="1"/>
          <c:tx>
            <c:strRef>
              <c:f>NASA_2_CORAL!$AT$4</c:f>
              <c:strCache>
                <c:ptCount val="1"/>
                <c:pt idx="0">
                  <c:v>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NASA_2_CORAL!$D$6:$D$29</c:f>
              <c:numCache>
                <c:formatCode>0.00</c:formatCode>
                <c:ptCount val="24"/>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NASA_2_CORAL!$AT$6:$AT$29</c:f>
              <c:numCache>
                <c:formatCode>0.00E+00</c:formatCode>
                <c:ptCount val="24"/>
                <c:pt idx="0">
                  <c:v>1610734.8076243501</c:v>
                </c:pt>
                <c:pt idx="1">
                  <c:v>1610734.8076243501</c:v>
                </c:pt>
                <c:pt idx="2">
                  <c:v>1225414.6399401061</c:v>
                </c:pt>
                <c:pt idx="3">
                  <c:v>1040187.1280958235</c:v>
                </c:pt>
                <c:pt idx="4">
                  <c:v>840496.09729929699</c:v>
                </c:pt>
                <c:pt idx="5">
                  <c:v>834049.7710819043</c:v>
                </c:pt>
                <c:pt idx="6">
                  <c:v>994291.90918676846</c:v>
                </c:pt>
                <c:pt idx="7">
                  <c:v>977472.64683584671</c:v>
                </c:pt>
                <c:pt idx="8">
                  <c:v>601509.74038075923</c:v>
                </c:pt>
                <c:pt idx="9">
                  <c:v>607711.54600882961</c:v>
                </c:pt>
                <c:pt idx="10">
                  <c:v>605259.01297552616</c:v>
                </c:pt>
                <c:pt idx="11">
                  <c:v>484354.48071745038</c:v>
                </c:pt>
                <c:pt idx="12">
                  <c:v>377054.68598151201</c:v>
                </c:pt>
                <c:pt idx="13">
                  <c:v>375400.72357047105</c:v>
                </c:pt>
                <c:pt idx="14">
                  <c:v>378068.64145261905</c:v>
                </c:pt>
                <c:pt idx="15">
                  <c:v>243598.77860457831</c:v>
                </c:pt>
                <c:pt idx="16">
                  <c:v>151015.9154539266</c:v>
                </c:pt>
                <c:pt idx="17">
                  <c:v>150216.14811328819</c:v>
                </c:pt>
                <c:pt idx="18">
                  <c:v>149987.65260199798</c:v>
                </c:pt>
                <c:pt idx="19">
                  <c:v>152001.40362569469</c:v>
                </c:pt>
                <c:pt idx="20">
                  <c:v>149897.98440965964</c:v>
                </c:pt>
                <c:pt idx="21">
                  <c:v>35475.767252277969</c:v>
                </c:pt>
                <c:pt idx="22">
                  <c:v>31551.803112437301</c:v>
                </c:pt>
                <c:pt idx="23">
                  <c:v>31551.803112437301</c:v>
                </c:pt>
              </c:numCache>
            </c:numRef>
          </c:yVal>
          <c:smooth val="0"/>
          <c:extLst>
            <c:ext xmlns:c16="http://schemas.microsoft.com/office/drawing/2014/chart" uri="{C3380CC4-5D6E-409C-BE32-E72D297353CC}">
              <c16:uniqueId val="{00000001-D38B-489B-920D-C299E6E3AFDF}"/>
            </c:ext>
          </c:extLst>
        </c:ser>
        <c:dLbls>
          <c:showLegendKey val="0"/>
          <c:showVal val="0"/>
          <c:showCatName val="0"/>
          <c:showSerName val="0"/>
          <c:showPercent val="0"/>
          <c:showBubbleSize val="0"/>
        </c:dLbls>
        <c:axId val="1478185104"/>
        <c:axId val="1478185584"/>
      </c:scatterChart>
      <c:valAx>
        <c:axId val="14781851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78185584"/>
        <c:crosses val="autoZero"/>
        <c:crossBetween val="midCat"/>
      </c:valAx>
      <c:valAx>
        <c:axId val="147818558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7818510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Ixx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EXI_beam_diff!$B$4:$B$201</c:f>
              <c:numCache>
                <c:formatCode>0.00000</c:formatCode>
                <c:ptCount val="198"/>
                <c:pt idx="0">
                  <c:v>0</c:v>
                </c:pt>
                <c:pt idx="1">
                  <c:v>0.14729999999999999</c:v>
                </c:pt>
                <c:pt idx="2">
                  <c:v>0.14729999999999999</c:v>
                </c:pt>
                <c:pt idx="3">
                  <c:v>0.247</c:v>
                </c:pt>
                <c:pt idx="4">
                  <c:v>0.247</c:v>
                </c:pt>
                <c:pt idx="5">
                  <c:v>0.33189999999999997</c:v>
                </c:pt>
                <c:pt idx="6">
                  <c:v>0.33189999999999997</c:v>
                </c:pt>
                <c:pt idx="7">
                  <c:v>0.41570000000000001</c:v>
                </c:pt>
                <c:pt idx="8">
                  <c:v>0.41570000000000001</c:v>
                </c:pt>
                <c:pt idx="9">
                  <c:v>0.50129999999999997</c:v>
                </c:pt>
                <c:pt idx="10">
                  <c:v>0.50129999999999997</c:v>
                </c:pt>
                <c:pt idx="11">
                  <c:v>0.58499999999999996</c:v>
                </c:pt>
                <c:pt idx="12">
                  <c:v>0.58499999999999996</c:v>
                </c:pt>
                <c:pt idx="13">
                  <c:v>0.67030000000000001</c:v>
                </c:pt>
                <c:pt idx="14">
                  <c:v>0.67030000000000001</c:v>
                </c:pt>
                <c:pt idx="15">
                  <c:v>0.75419999999999998</c:v>
                </c:pt>
                <c:pt idx="16">
                  <c:v>0.75419999999999998</c:v>
                </c:pt>
                <c:pt idx="17">
                  <c:v>0.83819999999999995</c:v>
                </c:pt>
                <c:pt idx="18">
                  <c:v>0.83819999999999995</c:v>
                </c:pt>
                <c:pt idx="19">
                  <c:v>0.92320000000000002</c:v>
                </c:pt>
                <c:pt idx="20">
                  <c:v>0.92320000000000002</c:v>
                </c:pt>
                <c:pt idx="21">
                  <c:v>1.0081</c:v>
                </c:pt>
                <c:pt idx="22">
                  <c:v>1.0081</c:v>
                </c:pt>
                <c:pt idx="23">
                  <c:v>1.0920000000000001</c:v>
                </c:pt>
                <c:pt idx="24">
                  <c:v>1.0920000000000001</c:v>
                </c:pt>
                <c:pt idx="25">
                  <c:v>1.1758999999999999</c:v>
                </c:pt>
                <c:pt idx="26">
                  <c:v>1.1758999999999999</c:v>
                </c:pt>
                <c:pt idx="27">
                  <c:v>1.2613000000000001</c:v>
                </c:pt>
                <c:pt idx="28">
                  <c:v>1.2613000000000001</c:v>
                </c:pt>
                <c:pt idx="29">
                  <c:v>1.3448</c:v>
                </c:pt>
                <c:pt idx="30">
                  <c:v>1.3448</c:v>
                </c:pt>
                <c:pt idx="31">
                  <c:v>1.4292</c:v>
                </c:pt>
                <c:pt idx="32">
                  <c:v>1.4292</c:v>
                </c:pt>
                <c:pt idx="33">
                  <c:v>1.482</c:v>
                </c:pt>
                <c:pt idx="34">
                  <c:v>1.482</c:v>
                </c:pt>
                <c:pt idx="35">
                  <c:v>1.5161</c:v>
                </c:pt>
                <c:pt idx="36">
                  <c:v>1.5161</c:v>
                </c:pt>
                <c:pt idx="37">
                  <c:v>1.5490999999999999</c:v>
                </c:pt>
                <c:pt idx="38">
                  <c:v>1.5490999999999999</c:v>
                </c:pt>
                <c:pt idx="39">
                  <c:v>1.5824</c:v>
                </c:pt>
                <c:pt idx="40">
                  <c:v>1.5824</c:v>
                </c:pt>
                <c:pt idx="41">
                  <c:v>1.6002000000000001</c:v>
                </c:pt>
              </c:numCache>
            </c:numRef>
          </c:xVal>
          <c:yVal>
            <c:numRef>
              <c:f>EXI_beam_diff!$H$4:$H$201</c:f>
              <c:numCache>
                <c:formatCode>0.00000</c:formatCode>
                <c:ptCount val="198"/>
                <c:pt idx="0">
                  <c:v>0.1</c:v>
                </c:pt>
                <c:pt idx="1">
                  <c:v>0.1</c:v>
                </c:pt>
                <c:pt idx="2">
                  <c:v>9.3981097192989951E-5</c:v>
                </c:pt>
                <c:pt idx="3">
                  <c:v>7.2424067327693696E-5</c:v>
                </c:pt>
                <c:pt idx="4">
                  <c:v>7.2424067327693696E-5</c:v>
                </c:pt>
                <c:pt idx="5">
                  <c:v>6.0832524169738474E-5</c:v>
                </c:pt>
                <c:pt idx="6">
                  <c:v>6.0832524169738474E-5</c:v>
                </c:pt>
                <c:pt idx="7">
                  <c:v>5.3215113644170976E-5</c:v>
                </c:pt>
                <c:pt idx="8">
                  <c:v>5.3215113644170976E-5</c:v>
                </c:pt>
                <c:pt idx="9">
                  <c:v>4.4674954914784574E-5</c:v>
                </c:pt>
                <c:pt idx="10">
                  <c:v>4.4674954914784574E-5</c:v>
                </c:pt>
                <c:pt idx="11">
                  <c:v>4.1881123288962204E-5</c:v>
                </c:pt>
                <c:pt idx="12">
                  <c:v>4.1881123288962204E-5</c:v>
                </c:pt>
                <c:pt idx="13">
                  <c:v>4.2835491274295488E-5</c:v>
                </c:pt>
                <c:pt idx="14">
                  <c:v>4.2835491274295488E-5</c:v>
                </c:pt>
                <c:pt idx="15">
                  <c:v>4.0481293298776685E-5</c:v>
                </c:pt>
                <c:pt idx="16">
                  <c:v>4.0481293298776685E-5</c:v>
                </c:pt>
                <c:pt idx="17">
                  <c:v>3.6726072873893471E-5</c:v>
                </c:pt>
                <c:pt idx="18">
                  <c:v>3.6726072873893471E-5</c:v>
                </c:pt>
                <c:pt idx="19">
                  <c:v>3.8659951796950124E-5</c:v>
                </c:pt>
                <c:pt idx="20">
                  <c:v>3.8659951796950124E-5</c:v>
                </c:pt>
                <c:pt idx="21">
                  <c:v>2.8079966389456712E-5</c:v>
                </c:pt>
                <c:pt idx="22">
                  <c:v>2.8079966389456712E-5</c:v>
                </c:pt>
                <c:pt idx="23">
                  <c:v>1.8794008317397213E-5</c:v>
                </c:pt>
                <c:pt idx="24">
                  <c:v>1.8794008317397213E-5</c:v>
                </c:pt>
                <c:pt idx="25">
                  <c:v>1.8245418231199204E-5</c:v>
                </c:pt>
                <c:pt idx="26">
                  <c:v>1.8245418231199204E-5</c:v>
                </c:pt>
                <c:pt idx="27">
                  <c:v>1.4415944675758141E-5</c:v>
                </c:pt>
                <c:pt idx="28">
                  <c:v>1.4415944675758141E-5</c:v>
                </c:pt>
                <c:pt idx="29">
                  <c:v>8.7522508538671893E-6</c:v>
                </c:pt>
                <c:pt idx="30">
                  <c:v>8.7522508538671893E-6</c:v>
                </c:pt>
                <c:pt idx="31">
                  <c:v>9.9189083631397951E-6</c:v>
                </c:pt>
                <c:pt idx="32">
                  <c:v>9.9189083631397951E-6</c:v>
                </c:pt>
                <c:pt idx="33">
                  <c:v>8.7090800948928043E-6</c:v>
                </c:pt>
                <c:pt idx="34">
                  <c:v>8.7090800948928043E-6</c:v>
                </c:pt>
                <c:pt idx="35">
                  <c:v>7.9254360412785605E-6</c:v>
                </c:pt>
                <c:pt idx="36">
                  <c:v>7.9254360412785605E-6</c:v>
                </c:pt>
                <c:pt idx="37">
                  <c:v>5.1734507703686521E-6</c:v>
                </c:pt>
                <c:pt idx="38">
                  <c:v>5.1734507703686521E-6</c:v>
                </c:pt>
                <c:pt idx="39">
                  <c:v>2.3964474515413658E-6</c:v>
                </c:pt>
                <c:pt idx="40">
                  <c:v>2.3964474515413658E-6</c:v>
                </c:pt>
                <c:pt idx="41">
                  <c:v>1.4034779907340644E-6</c:v>
                </c:pt>
              </c:numCache>
            </c:numRef>
          </c:yVal>
          <c:smooth val="0"/>
          <c:extLst>
            <c:ext xmlns:c16="http://schemas.microsoft.com/office/drawing/2014/chart" uri="{C3380CC4-5D6E-409C-BE32-E72D297353CC}">
              <c16:uniqueId val="{00000000-9CDE-4FF0-8566-62AB0AEFD539}"/>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EXI_beam_diff!$AJ$4:$AJ$201</c:f>
              <c:numCache>
                <c:formatCode>General</c:formatCode>
                <c:ptCount val="198"/>
                <c:pt idx="0">
                  <c:v>0</c:v>
                </c:pt>
                <c:pt idx="1">
                  <c:v>0.14729999999999999</c:v>
                </c:pt>
                <c:pt idx="2">
                  <c:v>0.14729999999999999</c:v>
                </c:pt>
                <c:pt idx="3">
                  <c:v>0.247</c:v>
                </c:pt>
                <c:pt idx="4">
                  <c:v>0.247</c:v>
                </c:pt>
                <c:pt idx="5">
                  <c:v>0.33189999999999997</c:v>
                </c:pt>
                <c:pt idx="6">
                  <c:v>0.33189999999999997</c:v>
                </c:pt>
                <c:pt idx="7">
                  <c:v>0.41570000000000001</c:v>
                </c:pt>
                <c:pt idx="8">
                  <c:v>0.41570000000000001</c:v>
                </c:pt>
                <c:pt idx="9">
                  <c:v>0.50129999999999997</c:v>
                </c:pt>
                <c:pt idx="10">
                  <c:v>0.50129999999999997</c:v>
                </c:pt>
                <c:pt idx="11">
                  <c:v>0.58499999999999996</c:v>
                </c:pt>
                <c:pt idx="12">
                  <c:v>0.58499999999999996</c:v>
                </c:pt>
                <c:pt idx="13">
                  <c:v>0.67030000000000001</c:v>
                </c:pt>
                <c:pt idx="14">
                  <c:v>0.67030000000000001</c:v>
                </c:pt>
                <c:pt idx="15">
                  <c:v>0.75419999999999998</c:v>
                </c:pt>
                <c:pt idx="16">
                  <c:v>0.75419999999999998</c:v>
                </c:pt>
                <c:pt idx="17">
                  <c:v>0.83819999999999995</c:v>
                </c:pt>
                <c:pt idx="18">
                  <c:v>0.83819999999999995</c:v>
                </c:pt>
                <c:pt idx="19">
                  <c:v>0.92320000000000002</c:v>
                </c:pt>
                <c:pt idx="20">
                  <c:v>0.92320000000000002</c:v>
                </c:pt>
                <c:pt idx="21">
                  <c:v>1.0081</c:v>
                </c:pt>
                <c:pt idx="22">
                  <c:v>1.0081</c:v>
                </c:pt>
                <c:pt idx="23">
                  <c:v>1.0920000000000001</c:v>
                </c:pt>
                <c:pt idx="24">
                  <c:v>1.0920000000000001</c:v>
                </c:pt>
                <c:pt idx="25">
                  <c:v>1.1758999999999999</c:v>
                </c:pt>
                <c:pt idx="26">
                  <c:v>1.1758999999999999</c:v>
                </c:pt>
                <c:pt idx="27">
                  <c:v>1.2613000000000001</c:v>
                </c:pt>
                <c:pt idx="28">
                  <c:v>1.2613000000000001</c:v>
                </c:pt>
                <c:pt idx="29">
                  <c:v>1.3448</c:v>
                </c:pt>
                <c:pt idx="30">
                  <c:v>1.3448</c:v>
                </c:pt>
                <c:pt idx="31">
                  <c:v>1.4292</c:v>
                </c:pt>
                <c:pt idx="32">
                  <c:v>1.4292</c:v>
                </c:pt>
                <c:pt idx="33">
                  <c:v>1.482</c:v>
                </c:pt>
                <c:pt idx="34">
                  <c:v>1.482</c:v>
                </c:pt>
                <c:pt idx="35">
                  <c:v>1.5161</c:v>
                </c:pt>
                <c:pt idx="36">
                  <c:v>1.5161</c:v>
                </c:pt>
                <c:pt idx="37">
                  <c:v>1.5490999999999999</c:v>
                </c:pt>
                <c:pt idx="38">
                  <c:v>1.5490999999999999</c:v>
                </c:pt>
                <c:pt idx="39">
                  <c:v>1.5824</c:v>
                </c:pt>
                <c:pt idx="40">
                  <c:v>1.5824</c:v>
                </c:pt>
                <c:pt idx="41">
                  <c:v>1.6002000000000001</c:v>
                </c:pt>
              </c:numCache>
            </c:numRef>
          </c:xVal>
          <c:yVal>
            <c:numRef>
              <c:f>EXI_beam_diff!$AP$4:$AP$201</c:f>
              <c:numCache>
                <c:formatCode>0.00E+00</c:formatCode>
                <c:ptCount val="198"/>
                <c:pt idx="0">
                  <c:v>0.1</c:v>
                </c:pt>
                <c:pt idx="1">
                  <c:v>0.1</c:v>
                </c:pt>
                <c:pt idx="2">
                  <c:v>1.8654199999999999E-4</c:v>
                </c:pt>
                <c:pt idx="3">
                  <c:v>8.9917260000000004E-5</c:v>
                </c:pt>
                <c:pt idx="4">
                  <c:v>8.9917260000000004E-5</c:v>
                </c:pt>
                <c:pt idx="5">
                  <c:v>4.9196870000000001E-5</c:v>
                </c:pt>
                <c:pt idx="6">
                  <c:v>4.9196870000000001E-5</c:v>
                </c:pt>
                <c:pt idx="7">
                  <c:v>4.4367640000000001E-5</c:v>
                </c:pt>
                <c:pt idx="8">
                  <c:v>4.4367640000000001E-5</c:v>
                </c:pt>
                <c:pt idx="9">
                  <c:v>4.1594639999999999E-5</c:v>
                </c:pt>
                <c:pt idx="10">
                  <c:v>4.1594639999999999E-5</c:v>
                </c:pt>
                <c:pt idx="11">
                  <c:v>3.7928130000000002E-5</c:v>
                </c:pt>
                <c:pt idx="12">
                  <c:v>3.7928130000000002E-5</c:v>
                </c:pt>
                <c:pt idx="13">
                  <c:v>3.6148130000000002E-5</c:v>
                </c:pt>
                <c:pt idx="14">
                  <c:v>3.6148130000000002E-5</c:v>
                </c:pt>
                <c:pt idx="15">
                  <c:v>3.4376569999999997E-5</c:v>
                </c:pt>
                <c:pt idx="16">
                  <c:v>3.4376569999999997E-5</c:v>
                </c:pt>
                <c:pt idx="17">
                  <c:v>3.2676950000000002E-5</c:v>
                </c:pt>
                <c:pt idx="18">
                  <c:v>3.2676950000000002E-5</c:v>
                </c:pt>
                <c:pt idx="19">
                  <c:v>3.2435750000000002E-5</c:v>
                </c:pt>
                <c:pt idx="20">
                  <c:v>3.2435750000000002E-5</c:v>
                </c:pt>
                <c:pt idx="21">
                  <c:v>2.602371E-5</c:v>
                </c:pt>
                <c:pt idx="22">
                  <c:v>2.602371E-5</c:v>
                </c:pt>
                <c:pt idx="23">
                  <c:v>1.8181150000000001E-5</c:v>
                </c:pt>
                <c:pt idx="24">
                  <c:v>1.8181150000000001E-5</c:v>
                </c:pt>
                <c:pt idx="25">
                  <c:v>1.8204780000000001E-5</c:v>
                </c:pt>
                <c:pt idx="26">
                  <c:v>1.8204780000000001E-5</c:v>
                </c:pt>
                <c:pt idx="27">
                  <c:v>1.464571E-5</c:v>
                </c:pt>
                <c:pt idx="28">
                  <c:v>1.464571E-5</c:v>
                </c:pt>
                <c:pt idx="29">
                  <c:v>8.7162359999999998E-6</c:v>
                </c:pt>
                <c:pt idx="30">
                  <c:v>8.7162359999999998E-6</c:v>
                </c:pt>
                <c:pt idx="31">
                  <c:v>8.3059079999999998E-6</c:v>
                </c:pt>
                <c:pt idx="32">
                  <c:v>8.3059079999999998E-6</c:v>
                </c:pt>
                <c:pt idx="33">
                  <c:v>1.087195E-5</c:v>
                </c:pt>
                <c:pt idx="34">
                  <c:v>1.087195E-5</c:v>
                </c:pt>
                <c:pt idx="35">
                  <c:v>1.1616859999999999E-5</c:v>
                </c:pt>
                <c:pt idx="36">
                  <c:v>1.1616859999999999E-5</c:v>
                </c:pt>
                <c:pt idx="37">
                  <c:v>7.4463759999999997E-6</c:v>
                </c:pt>
                <c:pt idx="38">
                  <c:v>7.4463759999999997E-6</c:v>
                </c:pt>
                <c:pt idx="39">
                  <c:v>2.5345419999999999E-6</c:v>
                </c:pt>
                <c:pt idx="40">
                  <c:v>2.5345419999999999E-6</c:v>
                </c:pt>
                <c:pt idx="41">
                  <c:v>1.692788E-6</c:v>
                </c:pt>
              </c:numCache>
            </c:numRef>
          </c:yVal>
          <c:smooth val="0"/>
          <c:extLst>
            <c:ext xmlns:c16="http://schemas.microsoft.com/office/drawing/2014/chart" uri="{C3380CC4-5D6E-409C-BE32-E72D297353CC}">
              <c16:uniqueId val="{00000001-9CDE-4FF0-8566-62AB0AEFD539}"/>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Izz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EXI_beam_diff!$B$4:$B$201</c:f>
              <c:numCache>
                <c:formatCode>0.00000</c:formatCode>
                <c:ptCount val="198"/>
                <c:pt idx="0">
                  <c:v>0</c:v>
                </c:pt>
                <c:pt idx="1">
                  <c:v>0.14729999999999999</c:v>
                </c:pt>
                <c:pt idx="2">
                  <c:v>0.14729999999999999</c:v>
                </c:pt>
                <c:pt idx="3">
                  <c:v>0.247</c:v>
                </c:pt>
                <c:pt idx="4">
                  <c:v>0.247</c:v>
                </c:pt>
                <c:pt idx="5">
                  <c:v>0.33189999999999997</c:v>
                </c:pt>
                <c:pt idx="6">
                  <c:v>0.33189999999999997</c:v>
                </c:pt>
                <c:pt idx="7">
                  <c:v>0.41570000000000001</c:v>
                </c:pt>
                <c:pt idx="8">
                  <c:v>0.41570000000000001</c:v>
                </c:pt>
                <c:pt idx="9">
                  <c:v>0.50129999999999997</c:v>
                </c:pt>
                <c:pt idx="10">
                  <c:v>0.50129999999999997</c:v>
                </c:pt>
                <c:pt idx="11">
                  <c:v>0.58499999999999996</c:v>
                </c:pt>
                <c:pt idx="12">
                  <c:v>0.58499999999999996</c:v>
                </c:pt>
                <c:pt idx="13">
                  <c:v>0.67030000000000001</c:v>
                </c:pt>
                <c:pt idx="14">
                  <c:v>0.67030000000000001</c:v>
                </c:pt>
                <c:pt idx="15">
                  <c:v>0.75419999999999998</c:v>
                </c:pt>
                <c:pt idx="16">
                  <c:v>0.75419999999999998</c:v>
                </c:pt>
                <c:pt idx="17">
                  <c:v>0.83819999999999995</c:v>
                </c:pt>
                <c:pt idx="18">
                  <c:v>0.83819999999999995</c:v>
                </c:pt>
                <c:pt idx="19">
                  <c:v>0.92320000000000002</c:v>
                </c:pt>
                <c:pt idx="20">
                  <c:v>0.92320000000000002</c:v>
                </c:pt>
                <c:pt idx="21">
                  <c:v>1.0081</c:v>
                </c:pt>
                <c:pt idx="22">
                  <c:v>1.0081</c:v>
                </c:pt>
                <c:pt idx="23">
                  <c:v>1.0920000000000001</c:v>
                </c:pt>
                <c:pt idx="24">
                  <c:v>1.0920000000000001</c:v>
                </c:pt>
                <c:pt idx="25">
                  <c:v>1.1758999999999999</c:v>
                </c:pt>
                <c:pt idx="26">
                  <c:v>1.1758999999999999</c:v>
                </c:pt>
                <c:pt idx="27">
                  <c:v>1.2613000000000001</c:v>
                </c:pt>
                <c:pt idx="28">
                  <c:v>1.2613000000000001</c:v>
                </c:pt>
                <c:pt idx="29">
                  <c:v>1.3448</c:v>
                </c:pt>
                <c:pt idx="30">
                  <c:v>1.3448</c:v>
                </c:pt>
                <c:pt idx="31">
                  <c:v>1.4292</c:v>
                </c:pt>
                <c:pt idx="32">
                  <c:v>1.4292</c:v>
                </c:pt>
                <c:pt idx="33">
                  <c:v>1.482</c:v>
                </c:pt>
                <c:pt idx="34">
                  <c:v>1.482</c:v>
                </c:pt>
                <c:pt idx="35">
                  <c:v>1.5161</c:v>
                </c:pt>
                <c:pt idx="36">
                  <c:v>1.5161</c:v>
                </c:pt>
                <c:pt idx="37">
                  <c:v>1.5490999999999999</c:v>
                </c:pt>
                <c:pt idx="38">
                  <c:v>1.5490999999999999</c:v>
                </c:pt>
                <c:pt idx="39">
                  <c:v>1.5824</c:v>
                </c:pt>
                <c:pt idx="40">
                  <c:v>1.5824</c:v>
                </c:pt>
                <c:pt idx="41">
                  <c:v>1.6002000000000001</c:v>
                </c:pt>
              </c:numCache>
            </c:numRef>
          </c:xVal>
          <c:yVal>
            <c:numRef>
              <c:f>EXI_beam_diff!$I$4:$I$201</c:f>
              <c:numCache>
                <c:formatCode>0.00000</c:formatCode>
                <c:ptCount val="198"/>
                <c:pt idx="0">
                  <c:v>0.1</c:v>
                </c:pt>
                <c:pt idx="1">
                  <c:v>0.1</c:v>
                </c:pt>
                <c:pt idx="2">
                  <c:v>6.1375230444865236E-3</c:v>
                </c:pt>
                <c:pt idx="3">
                  <c:v>3.5719288440171294E-3</c:v>
                </c:pt>
                <c:pt idx="4">
                  <c:v>3.5719288440171294E-3</c:v>
                </c:pt>
                <c:pt idx="5">
                  <c:v>1.4777761575157891E-3</c:v>
                </c:pt>
                <c:pt idx="6">
                  <c:v>1.4777761575157891E-3</c:v>
                </c:pt>
                <c:pt idx="7">
                  <c:v>1.4689834795215549E-3</c:v>
                </c:pt>
                <c:pt idx="8">
                  <c:v>1.4689834795215549E-3</c:v>
                </c:pt>
                <c:pt idx="9">
                  <c:v>1.4692898509598279E-3</c:v>
                </c:pt>
                <c:pt idx="10">
                  <c:v>1.4692898509598279E-3</c:v>
                </c:pt>
                <c:pt idx="11">
                  <c:v>1.4667317430547436E-3</c:v>
                </c:pt>
                <c:pt idx="12">
                  <c:v>1.4667317430547436E-3</c:v>
                </c:pt>
                <c:pt idx="13">
                  <c:v>1.5008838774728842E-3</c:v>
                </c:pt>
                <c:pt idx="14">
                  <c:v>1.5008838774728842E-3</c:v>
                </c:pt>
                <c:pt idx="15">
                  <c:v>1.4985742546535779E-3</c:v>
                </c:pt>
                <c:pt idx="16">
                  <c:v>1.4985742546535779E-3</c:v>
                </c:pt>
                <c:pt idx="17">
                  <c:v>1.5357401356254634E-3</c:v>
                </c:pt>
                <c:pt idx="18">
                  <c:v>1.5357401356254634E-3</c:v>
                </c:pt>
                <c:pt idx="19">
                  <c:v>1.6512993674537065E-3</c:v>
                </c:pt>
                <c:pt idx="20">
                  <c:v>1.6512993674537065E-3</c:v>
                </c:pt>
                <c:pt idx="21">
                  <c:v>1.6115590391006585E-3</c:v>
                </c:pt>
                <c:pt idx="22">
                  <c:v>1.6115590391006585E-3</c:v>
                </c:pt>
                <c:pt idx="23">
                  <c:v>1.5071895104871863E-3</c:v>
                </c:pt>
                <c:pt idx="24">
                  <c:v>1.5071895104871863E-3</c:v>
                </c:pt>
                <c:pt idx="25">
                  <c:v>1.3411793013143459E-3</c:v>
                </c:pt>
                <c:pt idx="26">
                  <c:v>1.3411793013143459E-3</c:v>
                </c:pt>
                <c:pt idx="27">
                  <c:v>1.3598050068337687E-3</c:v>
                </c:pt>
                <c:pt idx="28">
                  <c:v>1.3598050068337687E-3</c:v>
                </c:pt>
                <c:pt idx="29">
                  <c:v>1.4384189178592117E-3</c:v>
                </c:pt>
                <c:pt idx="30">
                  <c:v>1.4384189178592117E-3</c:v>
                </c:pt>
                <c:pt idx="31">
                  <c:v>1.3183225268815369E-3</c:v>
                </c:pt>
                <c:pt idx="32">
                  <c:v>1.3183225268815369E-3</c:v>
                </c:pt>
                <c:pt idx="33">
                  <c:v>1.2623428560719142E-3</c:v>
                </c:pt>
                <c:pt idx="34">
                  <c:v>1.2623428560719142E-3</c:v>
                </c:pt>
                <c:pt idx="35">
                  <c:v>1.2016793447934503E-3</c:v>
                </c:pt>
                <c:pt idx="36">
                  <c:v>1.2016793447934503E-3</c:v>
                </c:pt>
                <c:pt idx="37">
                  <c:v>7.4464292864968092E-4</c:v>
                </c:pt>
                <c:pt idx="38">
                  <c:v>7.4464292864968092E-4</c:v>
                </c:pt>
                <c:pt idx="39">
                  <c:v>2.8345163599551113E-4</c:v>
                </c:pt>
                <c:pt idx="40">
                  <c:v>2.8345163599551113E-4</c:v>
                </c:pt>
                <c:pt idx="41">
                  <c:v>1.7344500204911391E-4</c:v>
                </c:pt>
              </c:numCache>
            </c:numRef>
          </c:yVal>
          <c:smooth val="0"/>
          <c:extLst>
            <c:ext xmlns:c16="http://schemas.microsoft.com/office/drawing/2014/chart" uri="{C3380CC4-5D6E-409C-BE32-E72D297353CC}">
              <c16:uniqueId val="{00000000-A8AD-439A-81A5-730F3A5D019D}"/>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EXI_beam_diff!$AJ$4:$AJ$201</c:f>
              <c:numCache>
                <c:formatCode>General</c:formatCode>
                <c:ptCount val="198"/>
                <c:pt idx="0">
                  <c:v>0</c:v>
                </c:pt>
                <c:pt idx="1">
                  <c:v>0.14729999999999999</c:v>
                </c:pt>
                <c:pt idx="2">
                  <c:v>0.14729999999999999</c:v>
                </c:pt>
                <c:pt idx="3">
                  <c:v>0.247</c:v>
                </c:pt>
                <c:pt idx="4">
                  <c:v>0.247</c:v>
                </c:pt>
                <c:pt idx="5">
                  <c:v>0.33189999999999997</c:v>
                </c:pt>
                <c:pt idx="6">
                  <c:v>0.33189999999999997</c:v>
                </c:pt>
                <c:pt idx="7">
                  <c:v>0.41570000000000001</c:v>
                </c:pt>
                <c:pt idx="8">
                  <c:v>0.41570000000000001</c:v>
                </c:pt>
                <c:pt idx="9">
                  <c:v>0.50129999999999997</c:v>
                </c:pt>
                <c:pt idx="10">
                  <c:v>0.50129999999999997</c:v>
                </c:pt>
                <c:pt idx="11">
                  <c:v>0.58499999999999996</c:v>
                </c:pt>
                <c:pt idx="12">
                  <c:v>0.58499999999999996</c:v>
                </c:pt>
                <c:pt idx="13">
                  <c:v>0.67030000000000001</c:v>
                </c:pt>
                <c:pt idx="14">
                  <c:v>0.67030000000000001</c:v>
                </c:pt>
                <c:pt idx="15">
                  <c:v>0.75419999999999998</c:v>
                </c:pt>
                <c:pt idx="16">
                  <c:v>0.75419999999999998</c:v>
                </c:pt>
                <c:pt idx="17">
                  <c:v>0.83819999999999995</c:v>
                </c:pt>
                <c:pt idx="18">
                  <c:v>0.83819999999999995</c:v>
                </c:pt>
                <c:pt idx="19">
                  <c:v>0.92320000000000002</c:v>
                </c:pt>
                <c:pt idx="20">
                  <c:v>0.92320000000000002</c:v>
                </c:pt>
                <c:pt idx="21">
                  <c:v>1.0081</c:v>
                </c:pt>
                <c:pt idx="22">
                  <c:v>1.0081</c:v>
                </c:pt>
                <c:pt idx="23">
                  <c:v>1.0920000000000001</c:v>
                </c:pt>
                <c:pt idx="24">
                  <c:v>1.0920000000000001</c:v>
                </c:pt>
                <c:pt idx="25">
                  <c:v>1.1758999999999999</c:v>
                </c:pt>
                <c:pt idx="26">
                  <c:v>1.1758999999999999</c:v>
                </c:pt>
                <c:pt idx="27">
                  <c:v>1.2613000000000001</c:v>
                </c:pt>
                <c:pt idx="28">
                  <c:v>1.2613000000000001</c:v>
                </c:pt>
                <c:pt idx="29">
                  <c:v>1.3448</c:v>
                </c:pt>
                <c:pt idx="30">
                  <c:v>1.3448</c:v>
                </c:pt>
                <c:pt idx="31">
                  <c:v>1.4292</c:v>
                </c:pt>
                <c:pt idx="32">
                  <c:v>1.4292</c:v>
                </c:pt>
                <c:pt idx="33">
                  <c:v>1.482</c:v>
                </c:pt>
                <c:pt idx="34">
                  <c:v>1.482</c:v>
                </c:pt>
                <c:pt idx="35">
                  <c:v>1.5161</c:v>
                </c:pt>
                <c:pt idx="36">
                  <c:v>1.5161</c:v>
                </c:pt>
                <c:pt idx="37">
                  <c:v>1.5490999999999999</c:v>
                </c:pt>
                <c:pt idx="38">
                  <c:v>1.5490999999999999</c:v>
                </c:pt>
                <c:pt idx="39">
                  <c:v>1.5824</c:v>
                </c:pt>
                <c:pt idx="40">
                  <c:v>1.5824</c:v>
                </c:pt>
                <c:pt idx="41">
                  <c:v>1.6002000000000001</c:v>
                </c:pt>
              </c:numCache>
            </c:numRef>
          </c:xVal>
          <c:yVal>
            <c:numRef>
              <c:f>EXI_beam_diff!$AQ$4:$AQ$201</c:f>
              <c:numCache>
                <c:formatCode>0.00E+00</c:formatCode>
                <c:ptCount val="198"/>
                <c:pt idx="0">
                  <c:v>0.1</c:v>
                </c:pt>
                <c:pt idx="1">
                  <c:v>0.1</c:v>
                </c:pt>
                <c:pt idx="2">
                  <c:v>6.0449620000000001E-3</c:v>
                </c:pt>
                <c:pt idx="3">
                  <c:v>2.947856E-3</c:v>
                </c:pt>
                <c:pt idx="4">
                  <c:v>2.947856E-3</c:v>
                </c:pt>
                <c:pt idx="5">
                  <c:v>1.489396E-3</c:v>
                </c:pt>
                <c:pt idx="6">
                  <c:v>1.489396E-3</c:v>
                </c:pt>
                <c:pt idx="7">
                  <c:v>1.4019900000000001E-3</c:v>
                </c:pt>
                <c:pt idx="8">
                  <c:v>1.4019900000000001E-3</c:v>
                </c:pt>
                <c:pt idx="9">
                  <c:v>1.4113579999999999E-3</c:v>
                </c:pt>
                <c:pt idx="10">
                  <c:v>1.4113579999999999E-3</c:v>
                </c:pt>
                <c:pt idx="11">
                  <c:v>1.4704010000000001E-3</c:v>
                </c:pt>
                <c:pt idx="12">
                  <c:v>1.4704010000000001E-3</c:v>
                </c:pt>
                <c:pt idx="13">
                  <c:v>1.4391339999999999E-3</c:v>
                </c:pt>
                <c:pt idx="14">
                  <c:v>1.4391339999999999E-3</c:v>
                </c:pt>
                <c:pt idx="15">
                  <c:v>1.5046630000000001E-3</c:v>
                </c:pt>
                <c:pt idx="16">
                  <c:v>1.5046630000000001E-3</c:v>
                </c:pt>
                <c:pt idx="17">
                  <c:v>1.539758E-3</c:v>
                </c:pt>
                <c:pt idx="18">
                  <c:v>1.539758E-3</c:v>
                </c:pt>
                <c:pt idx="19">
                  <c:v>1.657059E-3</c:v>
                </c:pt>
                <c:pt idx="20">
                  <c:v>1.657059E-3</c:v>
                </c:pt>
                <c:pt idx="21">
                  <c:v>1.6098600000000001E-3</c:v>
                </c:pt>
                <c:pt idx="22">
                  <c:v>1.6098600000000001E-3</c:v>
                </c:pt>
                <c:pt idx="23">
                  <c:v>1.506662E-3</c:v>
                </c:pt>
                <c:pt idx="24">
                  <c:v>1.506662E-3</c:v>
                </c:pt>
                <c:pt idx="25">
                  <c:v>1.3407919999999999E-3</c:v>
                </c:pt>
                <c:pt idx="26">
                  <c:v>1.3407919999999999E-3</c:v>
                </c:pt>
                <c:pt idx="27">
                  <c:v>1.3537779999999999E-3</c:v>
                </c:pt>
                <c:pt idx="28">
                  <c:v>1.3537779999999999E-3</c:v>
                </c:pt>
                <c:pt idx="29">
                  <c:v>1.4355220000000001E-3</c:v>
                </c:pt>
                <c:pt idx="30">
                  <c:v>1.4355220000000001E-3</c:v>
                </c:pt>
                <c:pt idx="31">
                  <c:v>1.296609E-3</c:v>
                </c:pt>
                <c:pt idx="32">
                  <c:v>1.296609E-3</c:v>
                </c:pt>
                <c:pt idx="33">
                  <c:v>1.2596949999999999E-3</c:v>
                </c:pt>
                <c:pt idx="34">
                  <c:v>1.2596949999999999E-3</c:v>
                </c:pt>
                <c:pt idx="35">
                  <c:v>1.2013519999999999E-3</c:v>
                </c:pt>
                <c:pt idx="36">
                  <c:v>1.2013519999999999E-3</c:v>
                </c:pt>
                <c:pt idx="37">
                  <c:v>7.5006240000000004E-4</c:v>
                </c:pt>
                <c:pt idx="38">
                  <c:v>7.5006240000000004E-4</c:v>
                </c:pt>
                <c:pt idx="39">
                  <c:v>2.8398859999999998E-4</c:v>
                </c:pt>
                <c:pt idx="40">
                  <c:v>2.8398859999999998E-4</c:v>
                </c:pt>
                <c:pt idx="41">
                  <c:v>1.884446E-4</c:v>
                </c:pt>
              </c:numCache>
            </c:numRef>
          </c:yVal>
          <c:smooth val="0"/>
          <c:extLst>
            <c:ext xmlns:c16="http://schemas.microsoft.com/office/drawing/2014/chart" uri="{C3380CC4-5D6E-409C-BE32-E72D297353CC}">
              <c16:uniqueId val="{00000001-A8AD-439A-81A5-730F3A5D019D}"/>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Ixz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EXI_beam_diff!$B$4:$B$201</c:f>
              <c:numCache>
                <c:formatCode>0.00000</c:formatCode>
                <c:ptCount val="198"/>
                <c:pt idx="0">
                  <c:v>0</c:v>
                </c:pt>
                <c:pt idx="1">
                  <c:v>0.14729999999999999</c:v>
                </c:pt>
                <c:pt idx="2">
                  <c:v>0.14729999999999999</c:v>
                </c:pt>
                <c:pt idx="3">
                  <c:v>0.247</c:v>
                </c:pt>
                <c:pt idx="4">
                  <c:v>0.247</c:v>
                </c:pt>
                <c:pt idx="5">
                  <c:v>0.33189999999999997</c:v>
                </c:pt>
                <c:pt idx="6">
                  <c:v>0.33189999999999997</c:v>
                </c:pt>
                <c:pt idx="7">
                  <c:v>0.41570000000000001</c:v>
                </c:pt>
                <c:pt idx="8">
                  <c:v>0.41570000000000001</c:v>
                </c:pt>
                <c:pt idx="9">
                  <c:v>0.50129999999999997</c:v>
                </c:pt>
                <c:pt idx="10">
                  <c:v>0.50129999999999997</c:v>
                </c:pt>
                <c:pt idx="11">
                  <c:v>0.58499999999999996</c:v>
                </c:pt>
                <c:pt idx="12">
                  <c:v>0.58499999999999996</c:v>
                </c:pt>
                <c:pt idx="13">
                  <c:v>0.67030000000000001</c:v>
                </c:pt>
                <c:pt idx="14">
                  <c:v>0.67030000000000001</c:v>
                </c:pt>
                <c:pt idx="15">
                  <c:v>0.75419999999999998</c:v>
                </c:pt>
                <c:pt idx="16">
                  <c:v>0.75419999999999998</c:v>
                </c:pt>
                <c:pt idx="17">
                  <c:v>0.83819999999999995</c:v>
                </c:pt>
                <c:pt idx="18">
                  <c:v>0.83819999999999995</c:v>
                </c:pt>
                <c:pt idx="19">
                  <c:v>0.92320000000000002</c:v>
                </c:pt>
                <c:pt idx="20">
                  <c:v>0.92320000000000002</c:v>
                </c:pt>
                <c:pt idx="21">
                  <c:v>1.0081</c:v>
                </c:pt>
                <c:pt idx="22">
                  <c:v>1.0081</c:v>
                </c:pt>
                <c:pt idx="23">
                  <c:v>1.0920000000000001</c:v>
                </c:pt>
                <c:pt idx="24">
                  <c:v>1.0920000000000001</c:v>
                </c:pt>
                <c:pt idx="25">
                  <c:v>1.1758999999999999</c:v>
                </c:pt>
                <c:pt idx="26">
                  <c:v>1.1758999999999999</c:v>
                </c:pt>
                <c:pt idx="27">
                  <c:v>1.2613000000000001</c:v>
                </c:pt>
                <c:pt idx="28">
                  <c:v>1.2613000000000001</c:v>
                </c:pt>
                <c:pt idx="29">
                  <c:v>1.3448</c:v>
                </c:pt>
                <c:pt idx="30">
                  <c:v>1.3448</c:v>
                </c:pt>
                <c:pt idx="31">
                  <c:v>1.4292</c:v>
                </c:pt>
                <c:pt idx="32">
                  <c:v>1.4292</c:v>
                </c:pt>
                <c:pt idx="33">
                  <c:v>1.482</c:v>
                </c:pt>
                <c:pt idx="34">
                  <c:v>1.482</c:v>
                </c:pt>
                <c:pt idx="35">
                  <c:v>1.5161</c:v>
                </c:pt>
                <c:pt idx="36">
                  <c:v>1.5161</c:v>
                </c:pt>
                <c:pt idx="37">
                  <c:v>1.5490999999999999</c:v>
                </c:pt>
                <c:pt idx="38">
                  <c:v>1.5490999999999999</c:v>
                </c:pt>
                <c:pt idx="39">
                  <c:v>1.5824</c:v>
                </c:pt>
                <c:pt idx="40">
                  <c:v>1.5824</c:v>
                </c:pt>
                <c:pt idx="41">
                  <c:v>1.6002000000000001</c:v>
                </c:pt>
              </c:numCache>
            </c:numRef>
          </c:xVal>
          <c:yVal>
            <c:numRef>
              <c:f>EXI_beam_diff!$J$4:$J$201</c:f>
              <c:numCache>
                <c:formatCode>0.00000</c:formatCode>
                <c:ptCount val="198"/>
                <c:pt idx="0">
                  <c:v>0</c:v>
                </c:pt>
                <c:pt idx="1">
                  <c:v>0</c:v>
                </c:pt>
                <c:pt idx="2">
                  <c:v>-5.410590537688007E-4</c:v>
                </c:pt>
                <c:pt idx="3">
                  <c:v>-3.5259324979273229E-4</c:v>
                </c:pt>
                <c:pt idx="4">
                  <c:v>-3.5259324979273229E-4</c:v>
                </c:pt>
                <c:pt idx="5">
                  <c:v>-2.0623863762135255E-4</c:v>
                </c:pt>
                <c:pt idx="6">
                  <c:v>-2.0623863762135255E-4</c:v>
                </c:pt>
                <c:pt idx="7">
                  <c:v>-1.5648311660777472E-4</c:v>
                </c:pt>
                <c:pt idx="8">
                  <c:v>-1.5648311660777472E-4</c:v>
                </c:pt>
                <c:pt idx="9">
                  <c:v>-1.0331245403996722E-4</c:v>
                </c:pt>
                <c:pt idx="10">
                  <c:v>-1.0331245403996722E-4</c:v>
                </c:pt>
                <c:pt idx="11">
                  <c:v>-5.8591157140455896E-5</c:v>
                </c:pt>
                <c:pt idx="12">
                  <c:v>-5.8591157140455896E-5</c:v>
                </c:pt>
                <c:pt idx="13">
                  <c:v>-1.0745146991591675E-4</c:v>
                </c:pt>
                <c:pt idx="14">
                  <c:v>-1.0745146991591675E-4</c:v>
                </c:pt>
                <c:pt idx="15">
                  <c:v>-1.1858022349807841E-4</c:v>
                </c:pt>
                <c:pt idx="16">
                  <c:v>-1.1858022349807841E-4</c:v>
                </c:pt>
                <c:pt idx="17">
                  <c:v>-9.7557842655720091E-5</c:v>
                </c:pt>
                <c:pt idx="18">
                  <c:v>-9.7557842655720091E-5</c:v>
                </c:pt>
                <c:pt idx="19">
                  <c:v>-1.0268865001305723E-4</c:v>
                </c:pt>
                <c:pt idx="20">
                  <c:v>-1.0268865001305723E-4</c:v>
                </c:pt>
                <c:pt idx="21">
                  <c:v>-7.1384068779810819E-5</c:v>
                </c:pt>
                <c:pt idx="22">
                  <c:v>-7.1384068779810819E-5</c:v>
                </c:pt>
                <c:pt idx="23">
                  <c:v>-4.6970320100472332E-5</c:v>
                </c:pt>
                <c:pt idx="24">
                  <c:v>-4.6970320100472332E-5</c:v>
                </c:pt>
                <c:pt idx="25">
                  <c:v>-1.6717834792001519E-5</c:v>
                </c:pt>
                <c:pt idx="26">
                  <c:v>-1.6717834792001519E-5</c:v>
                </c:pt>
                <c:pt idx="27">
                  <c:v>8.767261299905913E-7</c:v>
                </c:pt>
                <c:pt idx="28">
                  <c:v>8.767261299905913E-7</c:v>
                </c:pt>
                <c:pt idx="29">
                  <c:v>2.1903706994012931E-5</c:v>
                </c:pt>
                <c:pt idx="30">
                  <c:v>2.1903706994012931E-5</c:v>
                </c:pt>
                <c:pt idx="31">
                  <c:v>4.848138558146232E-5</c:v>
                </c:pt>
                <c:pt idx="32">
                  <c:v>4.848138558146232E-5</c:v>
                </c:pt>
                <c:pt idx="33">
                  <c:v>4.1223938249966959E-5</c:v>
                </c:pt>
                <c:pt idx="34">
                  <c:v>4.1223938249966959E-5</c:v>
                </c:pt>
                <c:pt idx="35">
                  <c:v>3.965657500243518E-5</c:v>
                </c:pt>
                <c:pt idx="36">
                  <c:v>3.965657500243518E-5</c:v>
                </c:pt>
                <c:pt idx="37">
                  <c:v>2.8510050181947034E-5</c:v>
                </c:pt>
                <c:pt idx="38">
                  <c:v>2.8510050181947034E-5</c:v>
                </c:pt>
                <c:pt idx="39">
                  <c:v>1.726219331763621E-5</c:v>
                </c:pt>
                <c:pt idx="40">
                  <c:v>1.726219331763621E-5</c:v>
                </c:pt>
                <c:pt idx="41">
                  <c:v>1.0020235442823492E-5</c:v>
                </c:pt>
              </c:numCache>
            </c:numRef>
          </c:yVal>
          <c:smooth val="0"/>
          <c:extLst>
            <c:ext xmlns:c16="http://schemas.microsoft.com/office/drawing/2014/chart" uri="{C3380CC4-5D6E-409C-BE32-E72D297353CC}">
              <c16:uniqueId val="{00000000-BC06-4BB9-8666-4786826EEB9F}"/>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EXI_beam_diff!$AJ$4:$AJ$201</c:f>
              <c:numCache>
                <c:formatCode>General</c:formatCode>
                <c:ptCount val="198"/>
                <c:pt idx="0">
                  <c:v>0</c:v>
                </c:pt>
                <c:pt idx="1">
                  <c:v>0.14729999999999999</c:v>
                </c:pt>
                <c:pt idx="2">
                  <c:v>0.14729999999999999</c:v>
                </c:pt>
                <c:pt idx="3">
                  <c:v>0.247</c:v>
                </c:pt>
                <c:pt idx="4">
                  <c:v>0.247</c:v>
                </c:pt>
                <c:pt idx="5">
                  <c:v>0.33189999999999997</c:v>
                </c:pt>
                <c:pt idx="6">
                  <c:v>0.33189999999999997</c:v>
                </c:pt>
                <c:pt idx="7">
                  <c:v>0.41570000000000001</c:v>
                </c:pt>
                <c:pt idx="8">
                  <c:v>0.41570000000000001</c:v>
                </c:pt>
                <c:pt idx="9">
                  <c:v>0.50129999999999997</c:v>
                </c:pt>
                <c:pt idx="10">
                  <c:v>0.50129999999999997</c:v>
                </c:pt>
                <c:pt idx="11">
                  <c:v>0.58499999999999996</c:v>
                </c:pt>
                <c:pt idx="12">
                  <c:v>0.58499999999999996</c:v>
                </c:pt>
                <c:pt idx="13">
                  <c:v>0.67030000000000001</c:v>
                </c:pt>
                <c:pt idx="14">
                  <c:v>0.67030000000000001</c:v>
                </c:pt>
                <c:pt idx="15">
                  <c:v>0.75419999999999998</c:v>
                </c:pt>
                <c:pt idx="16">
                  <c:v>0.75419999999999998</c:v>
                </c:pt>
                <c:pt idx="17">
                  <c:v>0.83819999999999995</c:v>
                </c:pt>
                <c:pt idx="18">
                  <c:v>0.83819999999999995</c:v>
                </c:pt>
                <c:pt idx="19">
                  <c:v>0.92320000000000002</c:v>
                </c:pt>
                <c:pt idx="20">
                  <c:v>0.92320000000000002</c:v>
                </c:pt>
                <c:pt idx="21">
                  <c:v>1.0081</c:v>
                </c:pt>
                <c:pt idx="22">
                  <c:v>1.0081</c:v>
                </c:pt>
                <c:pt idx="23">
                  <c:v>1.0920000000000001</c:v>
                </c:pt>
                <c:pt idx="24">
                  <c:v>1.0920000000000001</c:v>
                </c:pt>
                <c:pt idx="25">
                  <c:v>1.1758999999999999</c:v>
                </c:pt>
                <c:pt idx="26">
                  <c:v>1.1758999999999999</c:v>
                </c:pt>
                <c:pt idx="27">
                  <c:v>1.2613000000000001</c:v>
                </c:pt>
                <c:pt idx="28">
                  <c:v>1.2613000000000001</c:v>
                </c:pt>
                <c:pt idx="29">
                  <c:v>1.3448</c:v>
                </c:pt>
                <c:pt idx="30">
                  <c:v>1.3448</c:v>
                </c:pt>
                <c:pt idx="31">
                  <c:v>1.4292</c:v>
                </c:pt>
                <c:pt idx="32">
                  <c:v>1.4292</c:v>
                </c:pt>
                <c:pt idx="33">
                  <c:v>1.482</c:v>
                </c:pt>
                <c:pt idx="34">
                  <c:v>1.482</c:v>
                </c:pt>
                <c:pt idx="35">
                  <c:v>1.5161</c:v>
                </c:pt>
                <c:pt idx="36">
                  <c:v>1.5161</c:v>
                </c:pt>
                <c:pt idx="37">
                  <c:v>1.5490999999999999</c:v>
                </c:pt>
                <c:pt idx="38">
                  <c:v>1.5490999999999999</c:v>
                </c:pt>
                <c:pt idx="39">
                  <c:v>1.5824</c:v>
                </c:pt>
                <c:pt idx="40">
                  <c:v>1.5824</c:v>
                </c:pt>
                <c:pt idx="41">
                  <c:v>1.6002000000000001</c:v>
                </c:pt>
              </c:numCache>
            </c:numRef>
          </c:xVal>
          <c:yVal>
            <c:numRef>
              <c:f>EXI_beam_diff!$AR$4:$AR$201</c:f>
              <c:numCache>
                <c:formatCode>0.00E+00</c:formatCode>
                <c:ptCount val="198"/>
                <c:pt idx="0">
                  <c:v>0</c:v>
                </c:pt>
                <c:pt idx="1">
                  <c:v>0</c:v>
                </c:pt>
                <c:pt idx="2">
                  <c:v>9.6799500000000003E-4</c:v>
                </c:pt>
                <c:pt idx="3">
                  <c:v>4.2069889999999998E-4</c:v>
                </c:pt>
                <c:pt idx="4">
                  <c:v>4.2069889999999998E-4</c:v>
                </c:pt>
                <c:pt idx="5">
                  <c:v>1.5755359999999999E-4</c:v>
                </c:pt>
                <c:pt idx="6">
                  <c:v>1.5755359999999999E-4</c:v>
                </c:pt>
                <c:pt idx="7">
                  <c:v>1.3020339999999999E-4</c:v>
                </c:pt>
                <c:pt idx="8">
                  <c:v>1.3020339999999999E-4</c:v>
                </c:pt>
                <c:pt idx="9">
                  <c:v>1.179212E-4</c:v>
                </c:pt>
                <c:pt idx="10">
                  <c:v>1.179212E-4</c:v>
                </c:pt>
                <c:pt idx="11">
                  <c:v>8.8121619999999995E-5</c:v>
                </c:pt>
                <c:pt idx="12">
                  <c:v>8.8121619999999995E-5</c:v>
                </c:pt>
                <c:pt idx="13">
                  <c:v>7.536469E-5</c:v>
                </c:pt>
                <c:pt idx="14">
                  <c:v>7.536469E-5</c:v>
                </c:pt>
                <c:pt idx="15">
                  <c:v>6.7729230000000004E-5</c:v>
                </c:pt>
                <c:pt idx="16">
                  <c:v>6.7729230000000004E-5</c:v>
                </c:pt>
                <c:pt idx="17">
                  <c:v>5.6791259999999997E-5</c:v>
                </c:pt>
                <c:pt idx="18">
                  <c:v>5.6791259999999997E-5</c:v>
                </c:pt>
                <c:pt idx="19">
                  <c:v>1.878639E-5</c:v>
                </c:pt>
                <c:pt idx="20">
                  <c:v>1.878639E-5</c:v>
                </c:pt>
                <c:pt idx="21">
                  <c:v>2.6122130000000001E-5</c:v>
                </c:pt>
                <c:pt idx="22">
                  <c:v>2.6122130000000001E-5</c:v>
                </c:pt>
                <c:pt idx="23">
                  <c:v>1.224185E-5</c:v>
                </c:pt>
                <c:pt idx="24">
                  <c:v>1.224185E-5</c:v>
                </c:pt>
                <c:pt idx="25">
                  <c:v>-1.5399310000000001E-5</c:v>
                </c:pt>
                <c:pt idx="26">
                  <c:v>-1.5399310000000001E-5</c:v>
                </c:pt>
                <c:pt idx="27">
                  <c:v>-2.4025040000000001E-5</c:v>
                </c:pt>
                <c:pt idx="28">
                  <c:v>-2.4025040000000001E-5</c:v>
                </c:pt>
                <c:pt idx="29">
                  <c:v>-2.9894729999999999E-5</c:v>
                </c:pt>
                <c:pt idx="30">
                  <c:v>-2.9894729999999999E-5</c:v>
                </c:pt>
                <c:pt idx="31">
                  <c:v>-3.4293959999999998E-5</c:v>
                </c:pt>
                <c:pt idx="32">
                  <c:v>-3.4293959999999998E-5</c:v>
                </c:pt>
                <c:pt idx="33">
                  <c:v>-6.6846299999999997E-5</c:v>
                </c:pt>
                <c:pt idx="34">
                  <c:v>-6.6846299999999997E-5</c:v>
                </c:pt>
                <c:pt idx="35">
                  <c:v>-7.7742580000000002E-5</c:v>
                </c:pt>
                <c:pt idx="36">
                  <c:v>-7.7742580000000002E-5</c:v>
                </c:pt>
                <c:pt idx="37">
                  <c:v>-5.0786279999999997E-5</c:v>
                </c:pt>
                <c:pt idx="38">
                  <c:v>-5.0786279999999997E-5</c:v>
                </c:pt>
                <c:pt idx="39">
                  <c:v>-1.7580989999999999E-5</c:v>
                </c:pt>
                <c:pt idx="40">
                  <c:v>-1.7580989999999999E-5</c:v>
                </c:pt>
                <c:pt idx="41">
                  <c:v>-1.262599E-5</c:v>
                </c:pt>
              </c:numCache>
            </c:numRef>
          </c:yVal>
          <c:smooth val="0"/>
          <c:extLst>
            <c:ext xmlns:c16="http://schemas.microsoft.com/office/drawing/2014/chart" uri="{C3380CC4-5D6E-409C-BE32-E72D297353CC}">
              <c16:uniqueId val="{00000001-BC06-4BB9-8666-4786826EEB9F}"/>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EXI_beam_diff!$B$6:$B$201</c:f>
              <c:numCache>
                <c:formatCode>0.00000</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EXI_beam_diff!$K$6:$K$202</c:f>
              <c:numCache>
                <c:formatCode>0.00000E+00</c:formatCode>
                <c:ptCount val="197"/>
                <c:pt idx="0">
                  <c:v>57826880.998899996</c:v>
                </c:pt>
                <c:pt idx="1">
                  <c:v>43730617.470660552</c:v>
                </c:pt>
                <c:pt idx="2">
                  <c:v>43730617.470660552</c:v>
                </c:pt>
                <c:pt idx="3">
                  <c:v>28314802.52746474</c:v>
                </c:pt>
                <c:pt idx="4">
                  <c:v>28314802.52746474</c:v>
                </c:pt>
                <c:pt idx="5">
                  <c:v>27798251.612222262</c:v>
                </c:pt>
                <c:pt idx="6">
                  <c:v>27798251.612222262</c:v>
                </c:pt>
                <c:pt idx="7">
                  <c:v>27650161.261665121</c:v>
                </c:pt>
                <c:pt idx="8">
                  <c:v>27650161.261665121</c:v>
                </c:pt>
                <c:pt idx="9">
                  <c:v>27534491.798706997</c:v>
                </c:pt>
                <c:pt idx="10">
                  <c:v>27534491.798706997</c:v>
                </c:pt>
                <c:pt idx="11">
                  <c:v>26267252.251442503</c:v>
                </c:pt>
                <c:pt idx="12">
                  <c:v>26267252.251442503</c:v>
                </c:pt>
                <c:pt idx="13">
                  <c:v>24392303.838737138</c:v>
                </c:pt>
                <c:pt idx="14">
                  <c:v>24392303.838737138</c:v>
                </c:pt>
                <c:pt idx="15">
                  <c:v>22470177.80752987</c:v>
                </c:pt>
                <c:pt idx="16">
                  <c:v>22470177.80752987</c:v>
                </c:pt>
                <c:pt idx="17">
                  <c:v>21077407.373937417</c:v>
                </c:pt>
                <c:pt idx="18">
                  <c:v>21077407.373937417</c:v>
                </c:pt>
                <c:pt idx="19">
                  <c:v>20362089.46121813</c:v>
                </c:pt>
                <c:pt idx="20">
                  <c:v>20362089.46121813</c:v>
                </c:pt>
                <c:pt idx="21">
                  <c:v>18940326.334258877</c:v>
                </c:pt>
                <c:pt idx="22">
                  <c:v>18940326.334258877</c:v>
                </c:pt>
                <c:pt idx="23">
                  <c:v>18894276.245735459</c:v>
                </c:pt>
                <c:pt idx="24">
                  <c:v>18894276.245735459</c:v>
                </c:pt>
                <c:pt idx="25">
                  <c:v>17238929.742110338</c:v>
                </c:pt>
                <c:pt idx="26">
                  <c:v>17238929.742110338</c:v>
                </c:pt>
                <c:pt idx="27">
                  <c:v>14054961.873543644</c:v>
                </c:pt>
                <c:pt idx="28">
                  <c:v>14054961.873543644</c:v>
                </c:pt>
                <c:pt idx="29">
                  <c:v>13833969.223582998</c:v>
                </c:pt>
                <c:pt idx="30">
                  <c:v>13833969.223582998</c:v>
                </c:pt>
                <c:pt idx="31">
                  <c:v>13878613.8380544</c:v>
                </c:pt>
                <c:pt idx="32">
                  <c:v>13878613.8380544</c:v>
                </c:pt>
                <c:pt idx="33">
                  <c:v>11769111.766538538</c:v>
                </c:pt>
                <c:pt idx="34">
                  <c:v>11769111.766538538</c:v>
                </c:pt>
                <c:pt idx="35">
                  <c:v>8807902.7895793393</c:v>
                </c:pt>
                <c:pt idx="36">
                  <c:v>8807902.7895793393</c:v>
                </c:pt>
                <c:pt idx="37">
                  <c:v>5819773.7310114065</c:v>
                </c:pt>
                <c:pt idx="38">
                  <c:v>5819773.7310114065</c:v>
                </c:pt>
                <c:pt idx="39">
                  <c:v>4239155.1993809007</c:v>
                </c:pt>
              </c:numCache>
            </c:numRef>
          </c:yVal>
          <c:smooth val="0"/>
          <c:extLst>
            <c:ext xmlns:c16="http://schemas.microsoft.com/office/drawing/2014/chart" uri="{C3380CC4-5D6E-409C-BE32-E72D297353CC}">
              <c16:uniqueId val="{00000000-569C-4F3D-A54E-DEDEDEDF6F57}"/>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EXI_beam_diff!$AJ$6:$AJ$201</c:f>
              <c:numCache>
                <c:formatCode>General</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EXI_beam_diff!$AS$6:$AS$201</c:f>
              <c:numCache>
                <c:formatCode>0.00E+00</c:formatCode>
                <c:ptCount val="196"/>
                <c:pt idx="0">
                  <c:v>57826880</c:v>
                </c:pt>
                <c:pt idx="1">
                  <c:v>43738840</c:v>
                </c:pt>
                <c:pt idx="2">
                  <c:v>43738840</c:v>
                </c:pt>
                <c:pt idx="3">
                  <c:v>28318240</c:v>
                </c:pt>
                <c:pt idx="4">
                  <c:v>28318240</c:v>
                </c:pt>
                <c:pt idx="5">
                  <c:v>27798170</c:v>
                </c:pt>
                <c:pt idx="6">
                  <c:v>27798170</c:v>
                </c:pt>
                <c:pt idx="7">
                  <c:v>27650180</c:v>
                </c:pt>
                <c:pt idx="8">
                  <c:v>27650180</c:v>
                </c:pt>
                <c:pt idx="9">
                  <c:v>27534490</c:v>
                </c:pt>
                <c:pt idx="10">
                  <c:v>27534490</c:v>
                </c:pt>
                <c:pt idx="11">
                  <c:v>26267150</c:v>
                </c:pt>
                <c:pt idx="12">
                  <c:v>26267150</c:v>
                </c:pt>
                <c:pt idx="13">
                  <c:v>24392180</c:v>
                </c:pt>
                <c:pt idx="14">
                  <c:v>24392180</c:v>
                </c:pt>
                <c:pt idx="15">
                  <c:v>22469620</c:v>
                </c:pt>
                <c:pt idx="16">
                  <c:v>22469620</c:v>
                </c:pt>
                <c:pt idx="17">
                  <c:v>21077330</c:v>
                </c:pt>
                <c:pt idx="18">
                  <c:v>21077330</c:v>
                </c:pt>
                <c:pt idx="19">
                  <c:v>20362300</c:v>
                </c:pt>
                <c:pt idx="20">
                  <c:v>20362300</c:v>
                </c:pt>
                <c:pt idx="21">
                  <c:v>18941050</c:v>
                </c:pt>
                <c:pt idx="22">
                  <c:v>18941050</c:v>
                </c:pt>
                <c:pt idx="23">
                  <c:v>18894430</c:v>
                </c:pt>
                <c:pt idx="24">
                  <c:v>18894430</c:v>
                </c:pt>
                <c:pt idx="25">
                  <c:v>17237190</c:v>
                </c:pt>
                <c:pt idx="26">
                  <c:v>17237190</c:v>
                </c:pt>
                <c:pt idx="27">
                  <c:v>14052690</c:v>
                </c:pt>
                <c:pt idx="28">
                  <c:v>14052690</c:v>
                </c:pt>
                <c:pt idx="29">
                  <c:v>13833970</c:v>
                </c:pt>
                <c:pt idx="30">
                  <c:v>13833970</c:v>
                </c:pt>
                <c:pt idx="31">
                  <c:v>13878540</c:v>
                </c:pt>
                <c:pt idx="32">
                  <c:v>13878540</c:v>
                </c:pt>
                <c:pt idx="33">
                  <c:v>11769110</c:v>
                </c:pt>
                <c:pt idx="34">
                  <c:v>11769110</c:v>
                </c:pt>
                <c:pt idx="35">
                  <c:v>8804003</c:v>
                </c:pt>
                <c:pt idx="36">
                  <c:v>8804003</c:v>
                </c:pt>
                <c:pt idx="37">
                  <c:v>5818891</c:v>
                </c:pt>
                <c:pt idx="38">
                  <c:v>5818891</c:v>
                </c:pt>
                <c:pt idx="39">
                  <c:v>4239155</c:v>
                </c:pt>
              </c:numCache>
            </c:numRef>
          </c:yVal>
          <c:smooth val="0"/>
          <c:extLst>
            <c:ext xmlns:c16="http://schemas.microsoft.com/office/drawing/2014/chart" uri="{C3380CC4-5D6E-409C-BE32-E72D297353CC}">
              <c16:uniqueId val="{00000001-569C-4F3D-A54E-DEDEDEDF6F57}"/>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EAx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EXI_beam_diff!$B$6:$B$201</c:f>
              <c:numCache>
                <c:formatCode>0.00000</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EXI_beam_diff!$L$6:$L$201</c:f>
              <c:numCache>
                <c:formatCode>0.0E+00</c:formatCode>
                <c:ptCount val="196"/>
                <c:pt idx="0">
                  <c:v>-2937.6055547441197</c:v>
                </c:pt>
                <c:pt idx="1">
                  <c:v>17525.754600037177</c:v>
                </c:pt>
                <c:pt idx="2">
                  <c:v>17525.754600037177</c:v>
                </c:pt>
                <c:pt idx="3">
                  <c:v>53636.742435705033</c:v>
                </c:pt>
                <c:pt idx="4">
                  <c:v>53636.742435705033</c:v>
                </c:pt>
                <c:pt idx="5">
                  <c:v>63186.27637870326</c:v>
                </c:pt>
                <c:pt idx="6">
                  <c:v>63186.27637870326</c:v>
                </c:pt>
                <c:pt idx="7">
                  <c:v>71688.926637598342</c:v>
                </c:pt>
                <c:pt idx="8">
                  <c:v>71688.926637598342</c:v>
                </c:pt>
                <c:pt idx="9">
                  <c:v>50003.586839392832</c:v>
                </c:pt>
                <c:pt idx="10">
                  <c:v>50003.586839392832</c:v>
                </c:pt>
                <c:pt idx="11">
                  <c:v>45424.736334852154</c:v>
                </c:pt>
                <c:pt idx="12">
                  <c:v>45424.736334852154</c:v>
                </c:pt>
                <c:pt idx="13">
                  <c:v>48326.032365306011</c:v>
                </c:pt>
                <c:pt idx="14">
                  <c:v>48326.032365306011</c:v>
                </c:pt>
                <c:pt idx="15">
                  <c:v>45483.375883877699</c:v>
                </c:pt>
                <c:pt idx="16">
                  <c:v>45483.375883877699</c:v>
                </c:pt>
                <c:pt idx="17">
                  <c:v>45420.063813543216</c:v>
                </c:pt>
                <c:pt idx="18">
                  <c:v>45420.063813543216</c:v>
                </c:pt>
                <c:pt idx="19">
                  <c:v>43856.025205533057</c:v>
                </c:pt>
                <c:pt idx="20">
                  <c:v>43856.025205533057</c:v>
                </c:pt>
                <c:pt idx="21">
                  <c:v>41791.220703837316</c:v>
                </c:pt>
                <c:pt idx="22">
                  <c:v>41791.220703837316</c:v>
                </c:pt>
                <c:pt idx="23">
                  <c:v>41752.571647826204</c:v>
                </c:pt>
                <c:pt idx="24">
                  <c:v>41752.571647826204</c:v>
                </c:pt>
                <c:pt idx="25">
                  <c:v>31086.157375432929</c:v>
                </c:pt>
                <c:pt idx="26">
                  <c:v>31086.157375432929</c:v>
                </c:pt>
                <c:pt idx="27">
                  <c:v>13446.51665427545</c:v>
                </c:pt>
                <c:pt idx="28">
                  <c:v>13446.51665427545</c:v>
                </c:pt>
                <c:pt idx="29">
                  <c:v>12298.398639765284</c:v>
                </c:pt>
                <c:pt idx="30">
                  <c:v>12298.398639765284</c:v>
                </c:pt>
                <c:pt idx="31">
                  <c:v>12339.378801141302</c:v>
                </c:pt>
                <c:pt idx="32">
                  <c:v>12339.378801141302</c:v>
                </c:pt>
                <c:pt idx="33">
                  <c:v>10282.245581751797</c:v>
                </c:pt>
                <c:pt idx="34">
                  <c:v>10282.245581751797</c:v>
                </c:pt>
                <c:pt idx="35">
                  <c:v>6915.3654591235327</c:v>
                </c:pt>
                <c:pt idx="36">
                  <c:v>6915.3654591235327</c:v>
                </c:pt>
                <c:pt idx="37">
                  <c:v>3517.8773353804481</c:v>
                </c:pt>
                <c:pt idx="38">
                  <c:v>3517.8773353804481</c:v>
                </c:pt>
                <c:pt idx="39">
                  <c:v>2153.4908412854975</c:v>
                </c:pt>
              </c:numCache>
            </c:numRef>
          </c:yVal>
          <c:smooth val="0"/>
          <c:extLst>
            <c:ext xmlns:c16="http://schemas.microsoft.com/office/drawing/2014/chart" uri="{C3380CC4-5D6E-409C-BE32-E72D297353CC}">
              <c16:uniqueId val="{00000000-A340-466C-9B63-6D55E1F1673A}"/>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EXI_beam_diff!$AJ$6:$AJ$201</c:f>
              <c:numCache>
                <c:formatCode>General</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EXI_beam_diff!$AT$6:$AT$201</c:f>
              <c:numCache>
                <c:formatCode>0.00E+00</c:formatCode>
                <c:ptCount val="196"/>
                <c:pt idx="0">
                  <c:v>-2703.009</c:v>
                </c:pt>
                <c:pt idx="1">
                  <c:v>28312.06</c:v>
                </c:pt>
                <c:pt idx="2">
                  <c:v>28312.06</c:v>
                </c:pt>
                <c:pt idx="3">
                  <c:v>58063.38</c:v>
                </c:pt>
                <c:pt idx="4">
                  <c:v>58063.38</c:v>
                </c:pt>
                <c:pt idx="5">
                  <c:v>66197.279999999999</c:v>
                </c:pt>
                <c:pt idx="6">
                  <c:v>66197.279999999999</c:v>
                </c:pt>
                <c:pt idx="7">
                  <c:v>73705.03</c:v>
                </c:pt>
                <c:pt idx="8">
                  <c:v>73705.03</c:v>
                </c:pt>
                <c:pt idx="9">
                  <c:v>51415.22</c:v>
                </c:pt>
                <c:pt idx="10">
                  <c:v>51415.22</c:v>
                </c:pt>
                <c:pt idx="11">
                  <c:v>47727.06</c:v>
                </c:pt>
                <c:pt idx="12">
                  <c:v>47727.06</c:v>
                </c:pt>
                <c:pt idx="13">
                  <c:v>49798.93</c:v>
                </c:pt>
                <c:pt idx="14">
                  <c:v>49798.93</c:v>
                </c:pt>
                <c:pt idx="15">
                  <c:v>45372.57</c:v>
                </c:pt>
                <c:pt idx="16">
                  <c:v>45372.57</c:v>
                </c:pt>
                <c:pt idx="17">
                  <c:v>43658.49</c:v>
                </c:pt>
                <c:pt idx="18">
                  <c:v>43658.49</c:v>
                </c:pt>
                <c:pt idx="19">
                  <c:v>42323.92</c:v>
                </c:pt>
                <c:pt idx="20">
                  <c:v>42323.92</c:v>
                </c:pt>
                <c:pt idx="21">
                  <c:v>40733.050000000003</c:v>
                </c:pt>
                <c:pt idx="22">
                  <c:v>40733.050000000003</c:v>
                </c:pt>
                <c:pt idx="23">
                  <c:v>41709.800000000003</c:v>
                </c:pt>
                <c:pt idx="24">
                  <c:v>41709.800000000003</c:v>
                </c:pt>
                <c:pt idx="25">
                  <c:v>31753.279999999999</c:v>
                </c:pt>
                <c:pt idx="26">
                  <c:v>31753.279999999999</c:v>
                </c:pt>
                <c:pt idx="27">
                  <c:v>15496.73</c:v>
                </c:pt>
                <c:pt idx="28">
                  <c:v>15496.73</c:v>
                </c:pt>
                <c:pt idx="29">
                  <c:v>15610.99</c:v>
                </c:pt>
                <c:pt idx="30">
                  <c:v>15610.99</c:v>
                </c:pt>
                <c:pt idx="31">
                  <c:v>16366.38</c:v>
                </c:pt>
                <c:pt idx="32">
                  <c:v>16366.38</c:v>
                </c:pt>
                <c:pt idx="33">
                  <c:v>13838.89</c:v>
                </c:pt>
                <c:pt idx="34">
                  <c:v>13838.89</c:v>
                </c:pt>
                <c:pt idx="35">
                  <c:v>9810.7800000000007</c:v>
                </c:pt>
                <c:pt idx="36">
                  <c:v>9810.7800000000007</c:v>
                </c:pt>
                <c:pt idx="37">
                  <c:v>6140.2539999999999</c:v>
                </c:pt>
                <c:pt idx="38">
                  <c:v>6140.2539999999999</c:v>
                </c:pt>
                <c:pt idx="39">
                  <c:v>4915.9250000000002</c:v>
                </c:pt>
              </c:numCache>
            </c:numRef>
          </c:yVal>
          <c:smooth val="0"/>
          <c:extLst>
            <c:ext xmlns:c16="http://schemas.microsoft.com/office/drawing/2014/chart" uri="{C3380CC4-5D6E-409C-BE32-E72D297353CC}">
              <c16:uniqueId val="{00000001-A340-466C-9B63-6D55E1F1673A}"/>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EAz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EXI_beam_diff!$B$6:$B$45</c:f>
              <c:numCache>
                <c:formatCode>0.00000</c:formatCode>
                <c:ptCount val="40"/>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EXI_beam_diff!$M$6:$M$45</c:f>
              <c:numCache>
                <c:formatCode>0.00000E+00</c:formatCode>
                <c:ptCount val="40"/>
                <c:pt idx="0">
                  <c:v>-1468.8027773720598</c:v>
                </c:pt>
                <c:pt idx="1">
                  <c:v>-25089.585501490095</c:v>
                </c:pt>
                <c:pt idx="2">
                  <c:v>-25089.585501490095</c:v>
                </c:pt>
                <c:pt idx="3">
                  <c:v>-36743.74636070172</c:v>
                </c:pt>
                <c:pt idx="4">
                  <c:v>-36743.74636070172</c:v>
                </c:pt>
                <c:pt idx="5">
                  <c:v>-30044.869635113508</c:v>
                </c:pt>
                <c:pt idx="6">
                  <c:v>-30044.869635113508</c:v>
                </c:pt>
                <c:pt idx="7">
                  <c:v>-23385.351879252605</c:v>
                </c:pt>
                <c:pt idx="8">
                  <c:v>-23385.351879252605</c:v>
                </c:pt>
                <c:pt idx="9">
                  <c:v>-17747.985531103499</c:v>
                </c:pt>
                <c:pt idx="10">
                  <c:v>-17747.985531103499</c:v>
                </c:pt>
                <c:pt idx="11">
                  <c:v>-28477.742454636395</c:v>
                </c:pt>
                <c:pt idx="12">
                  <c:v>-28477.742454636395</c:v>
                </c:pt>
                <c:pt idx="13">
                  <c:v>-25706.208958090385</c:v>
                </c:pt>
                <c:pt idx="14">
                  <c:v>-25706.208958090385</c:v>
                </c:pt>
                <c:pt idx="15">
                  <c:v>1133.4444205416148</c:v>
                </c:pt>
                <c:pt idx="16">
                  <c:v>1133.4444205416148</c:v>
                </c:pt>
                <c:pt idx="17">
                  <c:v>46490.79610813922</c:v>
                </c:pt>
                <c:pt idx="18">
                  <c:v>46490.79610813922</c:v>
                </c:pt>
                <c:pt idx="19">
                  <c:v>56820.223992959254</c:v>
                </c:pt>
                <c:pt idx="20">
                  <c:v>56820.223992959254</c:v>
                </c:pt>
                <c:pt idx="21">
                  <c:v>82359.49009715041</c:v>
                </c:pt>
                <c:pt idx="22">
                  <c:v>82359.49009715041</c:v>
                </c:pt>
                <c:pt idx="23">
                  <c:v>84464.972528935774</c:v>
                </c:pt>
                <c:pt idx="24">
                  <c:v>84464.972528935774</c:v>
                </c:pt>
                <c:pt idx="25">
                  <c:v>88565.924144660297</c:v>
                </c:pt>
                <c:pt idx="26">
                  <c:v>88565.924144660297</c:v>
                </c:pt>
                <c:pt idx="27">
                  <c:v>91306.079904700207</c:v>
                </c:pt>
                <c:pt idx="28">
                  <c:v>91306.079904700207</c:v>
                </c:pt>
                <c:pt idx="29">
                  <c:v>91586.329728295997</c:v>
                </c:pt>
                <c:pt idx="30">
                  <c:v>91586.329728295997</c:v>
                </c:pt>
                <c:pt idx="31">
                  <c:v>92015.920271774405</c:v>
                </c:pt>
                <c:pt idx="32">
                  <c:v>92015.920271774405</c:v>
                </c:pt>
                <c:pt idx="33">
                  <c:v>81264.035475472963</c:v>
                </c:pt>
                <c:pt idx="34">
                  <c:v>81264.035475472963</c:v>
                </c:pt>
                <c:pt idx="35">
                  <c:v>62686.675264513899</c:v>
                </c:pt>
                <c:pt idx="36">
                  <c:v>62686.675264513899</c:v>
                </c:pt>
                <c:pt idx="37">
                  <c:v>43940.42996072783</c:v>
                </c:pt>
                <c:pt idx="38">
                  <c:v>43940.42996072783</c:v>
                </c:pt>
                <c:pt idx="39">
                  <c:v>37255.391554239111</c:v>
                </c:pt>
              </c:numCache>
            </c:numRef>
          </c:yVal>
          <c:smooth val="0"/>
          <c:extLst>
            <c:ext xmlns:c16="http://schemas.microsoft.com/office/drawing/2014/chart" uri="{C3380CC4-5D6E-409C-BE32-E72D297353CC}">
              <c16:uniqueId val="{00000000-9892-4375-86D3-6E741AD12F27}"/>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EXI_beam_diff!$AJ$6:$AJ$201</c:f>
              <c:numCache>
                <c:formatCode>General</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EXI_beam_diff!$AU$6:$AU$201</c:f>
              <c:numCache>
                <c:formatCode>0.00E+00</c:formatCode>
                <c:ptCount val="196"/>
                <c:pt idx="0">
                  <c:v>-1865.6510000000001</c:v>
                </c:pt>
                <c:pt idx="1">
                  <c:v>-29489.99</c:v>
                </c:pt>
                <c:pt idx="2">
                  <c:v>-29489.99</c:v>
                </c:pt>
                <c:pt idx="3">
                  <c:v>-29839.47</c:v>
                </c:pt>
                <c:pt idx="4">
                  <c:v>-29839.47</c:v>
                </c:pt>
                <c:pt idx="5">
                  <c:v>-22800.67</c:v>
                </c:pt>
                <c:pt idx="6">
                  <c:v>-22800.67</c:v>
                </c:pt>
                <c:pt idx="7">
                  <c:v>-16168.16</c:v>
                </c:pt>
                <c:pt idx="8">
                  <c:v>-16168.16</c:v>
                </c:pt>
                <c:pt idx="9">
                  <c:v>-13367.37</c:v>
                </c:pt>
                <c:pt idx="10">
                  <c:v>-13367.37</c:v>
                </c:pt>
                <c:pt idx="11">
                  <c:v>-25278.84</c:v>
                </c:pt>
                <c:pt idx="12">
                  <c:v>-25278.84</c:v>
                </c:pt>
                <c:pt idx="13">
                  <c:v>-22342.73</c:v>
                </c:pt>
                <c:pt idx="14">
                  <c:v>-22342.73</c:v>
                </c:pt>
                <c:pt idx="15">
                  <c:v>4683.4290000000001</c:v>
                </c:pt>
                <c:pt idx="16">
                  <c:v>4683.4290000000001</c:v>
                </c:pt>
                <c:pt idx="17">
                  <c:v>48146.55</c:v>
                </c:pt>
                <c:pt idx="18">
                  <c:v>48146.55</c:v>
                </c:pt>
                <c:pt idx="19">
                  <c:v>58272.55</c:v>
                </c:pt>
                <c:pt idx="20">
                  <c:v>58272.55</c:v>
                </c:pt>
                <c:pt idx="21">
                  <c:v>82973.59</c:v>
                </c:pt>
                <c:pt idx="22">
                  <c:v>82973.59</c:v>
                </c:pt>
                <c:pt idx="23">
                  <c:v>84486.94</c:v>
                </c:pt>
                <c:pt idx="24">
                  <c:v>84486.94</c:v>
                </c:pt>
                <c:pt idx="25">
                  <c:v>88919.07</c:v>
                </c:pt>
                <c:pt idx="26">
                  <c:v>88919.07</c:v>
                </c:pt>
                <c:pt idx="27">
                  <c:v>91180.11</c:v>
                </c:pt>
                <c:pt idx="28">
                  <c:v>91180.11</c:v>
                </c:pt>
                <c:pt idx="29">
                  <c:v>91096.81</c:v>
                </c:pt>
                <c:pt idx="30">
                  <c:v>91096.81</c:v>
                </c:pt>
                <c:pt idx="31">
                  <c:v>91380.92</c:v>
                </c:pt>
                <c:pt idx="32">
                  <c:v>91380.92</c:v>
                </c:pt>
                <c:pt idx="33">
                  <c:v>81979.33</c:v>
                </c:pt>
                <c:pt idx="34">
                  <c:v>81979.33</c:v>
                </c:pt>
                <c:pt idx="35">
                  <c:v>63839.26</c:v>
                </c:pt>
                <c:pt idx="36">
                  <c:v>63839.26</c:v>
                </c:pt>
                <c:pt idx="37">
                  <c:v>43870.77</c:v>
                </c:pt>
                <c:pt idx="38">
                  <c:v>43870.77</c:v>
                </c:pt>
                <c:pt idx="39">
                  <c:v>45466.84</c:v>
                </c:pt>
              </c:numCache>
            </c:numRef>
          </c:yVal>
          <c:smooth val="0"/>
          <c:extLst>
            <c:ext xmlns:c16="http://schemas.microsoft.com/office/drawing/2014/chart" uri="{C3380CC4-5D6E-409C-BE32-E72D297353CC}">
              <c16:uniqueId val="{00000001-9892-4375-86D3-6E741AD12F27}"/>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Eixx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EXI_beam_diff!$B$6:$B$201</c:f>
              <c:numCache>
                <c:formatCode>0.00000</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EXI_beam_diff!$N$6:$N$201</c:f>
              <c:numCache>
                <c:formatCode>0.0E+00</c:formatCode>
                <c:ptCount val="196"/>
                <c:pt idx="0">
                  <c:v>1198.2741064762447</c:v>
                </c:pt>
                <c:pt idx="1">
                  <c:v>1160.3360939908714</c:v>
                </c:pt>
                <c:pt idx="2">
                  <c:v>1160.3360939908714</c:v>
                </c:pt>
                <c:pt idx="3">
                  <c:v>1285.9457838065698</c:v>
                </c:pt>
                <c:pt idx="4">
                  <c:v>1285.9457838065698</c:v>
                </c:pt>
                <c:pt idx="5">
                  <c:v>1216.6269287800487</c:v>
                </c:pt>
                <c:pt idx="6">
                  <c:v>1216.6269287800487</c:v>
                </c:pt>
                <c:pt idx="7">
                  <c:v>1128.3039411275518</c:v>
                </c:pt>
                <c:pt idx="8">
                  <c:v>1128.3039411275518</c:v>
                </c:pt>
                <c:pt idx="9">
                  <c:v>953.30322578800281</c:v>
                </c:pt>
                <c:pt idx="10">
                  <c:v>953.30322578800281</c:v>
                </c:pt>
                <c:pt idx="11">
                  <c:v>1033.8951933847698</c:v>
                </c:pt>
                <c:pt idx="12">
                  <c:v>1033.8951933847698</c:v>
                </c:pt>
                <c:pt idx="13">
                  <c:v>1039.1690894244634</c:v>
                </c:pt>
                <c:pt idx="14">
                  <c:v>1039.1690894244634</c:v>
                </c:pt>
                <c:pt idx="15">
                  <c:v>846.87574484311119</c:v>
                </c:pt>
                <c:pt idx="16">
                  <c:v>846.87574484311119</c:v>
                </c:pt>
                <c:pt idx="17">
                  <c:v>537.9100590342656</c:v>
                </c:pt>
                <c:pt idx="18">
                  <c:v>537.9100590342656</c:v>
                </c:pt>
                <c:pt idx="19">
                  <c:v>453.91662846025116</c:v>
                </c:pt>
                <c:pt idx="20">
                  <c:v>453.91662846025116</c:v>
                </c:pt>
                <c:pt idx="21">
                  <c:v>312.66008996679409</c:v>
                </c:pt>
                <c:pt idx="22">
                  <c:v>312.66008996679409</c:v>
                </c:pt>
                <c:pt idx="23">
                  <c:v>305.85715484014747</c:v>
                </c:pt>
                <c:pt idx="24">
                  <c:v>305.85715484014747</c:v>
                </c:pt>
                <c:pt idx="25">
                  <c:v>218.1683615776497</c:v>
                </c:pt>
                <c:pt idx="26">
                  <c:v>218.1683615776497</c:v>
                </c:pt>
                <c:pt idx="27">
                  <c:v>92.096166573349123</c:v>
                </c:pt>
                <c:pt idx="28">
                  <c:v>92.096166573349123</c:v>
                </c:pt>
                <c:pt idx="29">
                  <c:v>89.396798227126041</c:v>
                </c:pt>
                <c:pt idx="30">
                  <c:v>89.396798227126041</c:v>
                </c:pt>
                <c:pt idx="31">
                  <c:v>92.924600605738817</c:v>
                </c:pt>
                <c:pt idx="32">
                  <c:v>92.924600605738817</c:v>
                </c:pt>
                <c:pt idx="33">
                  <c:v>74.006486078706629</c:v>
                </c:pt>
                <c:pt idx="34">
                  <c:v>74.006486078706629</c:v>
                </c:pt>
                <c:pt idx="35">
                  <c:v>45.38993238672397</c:v>
                </c:pt>
                <c:pt idx="36">
                  <c:v>45.38993238672397</c:v>
                </c:pt>
                <c:pt idx="37">
                  <c:v>16.51322820663222</c:v>
                </c:pt>
                <c:pt idx="38">
                  <c:v>16.51322820663222</c:v>
                </c:pt>
                <c:pt idx="39">
                  <c:v>8.974308125544713</c:v>
                </c:pt>
              </c:numCache>
            </c:numRef>
          </c:yVal>
          <c:smooth val="0"/>
          <c:extLst>
            <c:ext xmlns:c16="http://schemas.microsoft.com/office/drawing/2014/chart" uri="{C3380CC4-5D6E-409C-BE32-E72D297353CC}">
              <c16:uniqueId val="{00000000-E24F-4FF9-A22D-070E6FB5750C}"/>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EXI_beam_diff!$AJ$6:$AJ$201</c:f>
              <c:numCache>
                <c:formatCode>General</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EXI_beam_diff!$AV$6:$AV$201</c:f>
              <c:numCache>
                <c:formatCode>0.00E+00</c:formatCode>
                <c:ptCount val="196"/>
                <c:pt idx="0">
                  <c:v>1236.883</c:v>
                </c:pt>
                <c:pt idx="1">
                  <c:v>1160.405</c:v>
                </c:pt>
                <c:pt idx="2">
                  <c:v>1160.405</c:v>
                </c:pt>
                <c:pt idx="3">
                  <c:v>1227.181</c:v>
                </c:pt>
                <c:pt idx="4">
                  <c:v>1227.181</c:v>
                </c:pt>
                <c:pt idx="5">
                  <c:v>1167.1320000000001</c:v>
                </c:pt>
                <c:pt idx="6">
                  <c:v>1167.1320000000001</c:v>
                </c:pt>
                <c:pt idx="7">
                  <c:v>1097.22</c:v>
                </c:pt>
                <c:pt idx="8">
                  <c:v>1097.22</c:v>
                </c:pt>
                <c:pt idx="9">
                  <c:v>891.09979999999996</c:v>
                </c:pt>
                <c:pt idx="10">
                  <c:v>891.09979999999996</c:v>
                </c:pt>
                <c:pt idx="11">
                  <c:v>989.11410000000001</c:v>
                </c:pt>
                <c:pt idx="12">
                  <c:v>989.11410000000001</c:v>
                </c:pt>
                <c:pt idx="13">
                  <c:v>1010.779</c:v>
                </c:pt>
                <c:pt idx="14">
                  <c:v>1010.779</c:v>
                </c:pt>
                <c:pt idx="15">
                  <c:v>826.57590000000005</c:v>
                </c:pt>
                <c:pt idx="16">
                  <c:v>826.57590000000005</c:v>
                </c:pt>
                <c:pt idx="17">
                  <c:v>526.72699999999998</c:v>
                </c:pt>
                <c:pt idx="18">
                  <c:v>526.72699999999998</c:v>
                </c:pt>
                <c:pt idx="19">
                  <c:v>446.625</c:v>
                </c:pt>
                <c:pt idx="20">
                  <c:v>446.625</c:v>
                </c:pt>
                <c:pt idx="21">
                  <c:v>309.70850000000002</c:v>
                </c:pt>
                <c:pt idx="22">
                  <c:v>309.70850000000002</c:v>
                </c:pt>
                <c:pt idx="23">
                  <c:v>305.73849999999999</c:v>
                </c:pt>
                <c:pt idx="24">
                  <c:v>305.73849999999999</c:v>
                </c:pt>
                <c:pt idx="25">
                  <c:v>216.8306</c:v>
                </c:pt>
                <c:pt idx="26">
                  <c:v>216.8306</c:v>
                </c:pt>
                <c:pt idx="27">
                  <c:v>93.584720000000004</c:v>
                </c:pt>
                <c:pt idx="28">
                  <c:v>93.584720000000004</c:v>
                </c:pt>
                <c:pt idx="29">
                  <c:v>92.475020000000001</c:v>
                </c:pt>
                <c:pt idx="30">
                  <c:v>92.475020000000001</c:v>
                </c:pt>
                <c:pt idx="31">
                  <c:v>97.534019999999998</c:v>
                </c:pt>
                <c:pt idx="32">
                  <c:v>97.534019999999998</c:v>
                </c:pt>
                <c:pt idx="33">
                  <c:v>79.339659999999995</c:v>
                </c:pt>
                <c:pt idx="34">
                  <c:v>79.339659999999995</c:v>
                </c:pt>
                <c:pt idx="35">
                  <c:v>49.447859999999999</c:v>
                </c:pt>
                <c:pt idx="36">
                  <c:v>49.447859999999999</c:v>
                </c:pt>
                <c:pt idx="37">
                  <c:v>18.85697</c:v>
                </c:pt>
                <c:pt idx="38">
                  <c:v>18.85697</c:v>
                </c:pt>
                <c:pt idx="39">
                  <c:v>12.58244</c:v>
                </c:pt>
              </c:numCache>
            </c:numRef>
          </c:yVal>
          <c:smooth val="0"/>
          <c:extLst>
            <c:ext xmlns:c16="http://schemas.microsoft.com/office/drawing/2014/chart" uri="{C3380CC4-5D6E-409C-BE32-E72D297353CC}">
              <c16:uniqueId val="{00000001-E24F-4FF9-A22D-070E6FB5750C}"/>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Git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EXI_beam_diff!$B$6:$B$200</c:f>
              <c:numCache>
                <c:formatCode>0.00000</c:formatCode>
                <c:ptCount val="195"/>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EXI_beam_diff!$Q$6:$Q$45</c:f>
              <c:numCache>
                <c:formatCode>0.00000E+00</c:formatCode>
                <c:ptCount val="40"/>
                <c:pt idx="0">
                  <c:v>786.32921610758365</c:v>
                </c:pt>
                <c:pt idx="1">
                  <c:v>724.83720109701426</c:v>
                </c:pt>
                <c:pt idx="2">
                  <c:v>724.83720109701426</c:v>
                </c:pt>
                <c:pt idx="3">
                  <c:v>619.04317568008526</c:v>
                </c:pt>
                <c:pt idx="4">
                  <c:v>619.04317568008526</c:v>
                </c:pt>
                <c:pt idx="5">
                  <c:v>570.08231773200839</c:v>
                </c:pt>
                <c:pt idx="6">
                  <c:v>570.08231773200839</c:v>
                </c:pt>
                <c:pt idx="7">
                  <c:v>522.31133244928583</c:v>
                </c:pt>
                <c:pt idx="8">
                  <c:v>522.31133244928583</c:v>
                </c:pt>
                <c:pt idx="9">
                  <c:v>483.21044793475335</c:v>
                </c:pt>
                <c:pt idx="10">
                  <c:v>483.21044793475335</c:v>
                </c:pt>
                <c:pt idx="11">
                  <c:v>573.85648255386729</c:v>
                </c:pt>
                <c:pt idx="12">
                  <c:v>573.85648255386729</c:v>
                </c:pt>
                <c:pt idx="13">
                  <c:v>617.02369251457731</c:v>
                </c:pt>
                <c:pt idx="14">
                  <c:v>617.02369251457731</c:v>
                </c:pt>
                <c:pt idx="15">
                  <c:v>532.60758798412144</c:v>
                </c:pt>
                <c:pt idx="16">
                  <c:v>532.60758798412144</c:v>
                </c:pt>
                <c:pt idx="17">
                  <c:v>332.4363668138991</c:v>
                </c:pt>
                <c:pt idx="18">
                  <c:v>332.4363668138991</c:v>
                </c:pt>
                <c:pt idx="19">
                  <c:v>279.75481215103724</c:v>
                </c:pt>
                <c:pt idx="20">
                  <c:v>279.75481215103724</c:v>
                </c:pt>
                <c:pt idx="21">
                  <c:v>190.30726299731683</c:v>
                </c:pt>
                <c:pt idx="22">
                  <c:v>190.30726299731683</c:v>
                </c:pt>
                <c:pt idx="23">
                  <c:v>186.33152179802639</c:v>
                </c:pt>
                <c:pt idx="24">
                  <c:v>186.33152179802639</c:v>
                </c:pt>
                <c:pt idx="25">
                  <c:v>143.91695587557757</c:v>
                </c:pt>
                <c:pt idx="26">
                  <c:v>143.91695587557757</c:v>
                </c:pt>
                <c:pt idx="27">
                  <c:v>82.100150206068975</c:v>
                </c:pt>
                <c:pt idx="28">
                  <c:v>82.100150206068975</c:v>
                </c:pt>
                <c:pt idx="29">
                  <c:v>78.345940145025665</c:v>
                </c:pt>
                <c:pt idx="30">
                  <c:v>78.345940145025665</c:v>
                </c:pt>
                <c:pt idx="31">
                  <c:v>79.21002772919671</c:v>
                </c:pt>
                <c:pt idx="32">
                  <c:v>79.21002772919671</c:v>
                </c:pt>
                <c:pt idx="33">
                  <c:v>62.116831773514463</c:v>
                </c:pt>
                <c:pt idx="34">
                  <c:v>62.116831773514463</c:v>
                </c:pt>
                <c:pt idx="35">
                  <c:v>37.436678685700528</c:v>
                </c:pt>
                <c:pt idx="36">
                  <c:v>37.436678685700528</c:v>
                </c:pt>
                <c:pt idx="37">
                  <c:v>12.532160569815417</c:v>
                </c:pt>
                <c:pt idx="38">
                  <c:v>12.532160569815417</c:v>
                </c:pt>
                <c:pt idx="39">
                  <c:v>7.260631083037179</c:v>
                </c:pt>
              </c:numCache>
            </c:numRef>
          </c:yVal>
          <c:smooth val="0"/>
          <c:extLst>
            <c:ext xmlns:c16="http://schemas.microsoft.com/office/drawing/2014/chart" uri="{C3380CC4-5D6E-409C-BE32-E72D297353CC}">
              <c16:uniqueId val="{00000000-D3D1-47BF-AA85-BBC8689FEA90}"/>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EXI_beam_diff!$AJ$6:$AJ$201</c:f>
              <c:numCache>
                <c:formatCode>General</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EXI_beam_diff!$AY$6:$AY$201</c:f>
              <c:numCache>
                <c:formatCode>0.00E+00</c:formatCode>
                <c:ptCount val="196"/>
                <c:pt idx="0">
                  <c:v>808.29100000000005</c:v>
                </c:pt>
                <c:pt idx="1">
                  <c:v>729.80179999999996</c:v>
                </c:pt>
                <c:pt idx="2">
                  <c:v>729.80179999999996</c:v>
                </c:pt>
                <c:pt idx="3">
                  <c:v>630.00480000000005</c:v>
                </c:pt>
                <c:pt idx="4">
                  <c:v>630.00480000000005</c:v>
                </c:pt>
                <c:pt idx="5">
                  <c:v>583.57129999999995</c:v>
                </c:pt>
                <c:pt idx="6">
                  <c:v>583.57129999999995</c:v>
                </c:pt>
                <c:pt idx="7">
                  <c:v>537.91060000000004</c:v>
                </c:pt>
                <c:pt idx="8">
                  <c:v>537.91060000000004</c:v>
                </c:pt>
                <c:pt idx="9">
                  <c:v>496.46</c:v>
                </c:pt>
                <c:pt idx="10">
                  <c:v>496.46</c:v>
                </c:pt>
                <c:pt idx="11">
                  <c:v>584.79960000000005</c:v>
                </c:pt>
                <c:pt idx="12">
                  <c:v>584.79960000000005</c:v>
                </c:pt>
                <c:pt idx="13">
                  <c:v>628.57910000000004</c:v>
                </c:pt>
                <c:pt idx="14">
                  <c:v>628.57910000000004</c:v>
                </c:pt>
                <c:pt idx="15">
                  <c:v>544.62919999999997</c:v>
                </c:pt>
                <c:pt idx="16">
                  <c:v>544.62919999999997</c:v>
                </c:pt>
                <c:pt idx="17">
                  <c:v>346.61009999999999</c:v>
                </c:pt>
                <c:pt idx="18">
                  <c:v>346.61009999999999</c:v>
                </c:pt>
                <c:pt idx="19">
                  <c:v>293.95870000000002</c:v>
                </c:pt>
                <c:pt idx="20">
                  <c:v>293.95870000000002</c:v>
                </c:pt>
                <c:pt idx="21">
                  <c:v>217.53219999999999</c:v>
                </c:pt>
                <c:pt idx="22">
                  <c:v>217.53219999999999</c:v>
                </c:pt>
                <c:pt idx="23">
                  <c:v>214.96360000000001</c:v>
                </c:pt>
                <c:pt idx="24">
                  <c:v>214.96360000000001</c:v>
                </c:pt>
                <c:pt idx="25">
                  <c:v>159.90100000000001</c:v>
                </c:pt>
                <c:pt idx="26">
                  <c:v>159.90100000000001</c:v>
                </c:pt>
                <c:pt idx="27">
                  <c:v>95.116060000000004</c:v>
                </c:pt>
                <c:pt idx="28">
                  <c:v>95.116060000000004</c:v>
                </c:pt>
                <c:pt idx="29">
                  <c:v>91.423749999999998</c:v>
                </c:pt>
                <c:pt idx="30">
                  <c:v>91.423749999999998</c:v>
                </c:pt>
                <c:pt idx="31">
                  <c:v>93.386570000000006</c:v>
                </c:pt>
                <c:pt idx="32">
                  <c:v>93.386570000000006</c:v>
                </c:pt>
                <c:pt idx="33">
                  <c:v>69.770009999999999</c:v>
                </c:pt>
                <c:pt idx="34">
                  <c:v>69.770009999999999</c:v>
                </c:pt>
                <c:pt idx="35">
                  <c:v>39.401829999999997</c:v>
                </c:pt>
                <c:pt idx="36">
                  <c:v>39.401829999999997</c:v>
                </c:pt>
                <c:pt idx="37">
                  <c:v>12.69379</c:v>
                </c:pt>
                <c:pt idx="38">
                  <c:v>12.69379</c:v>
                </c:pt>
                <c:pt idx="39">
                  <c:v>11.86185</c:v>
                </c:pt>
              </c:numCache>
            </c:numRef>
          </c:yVal>
          <c:smooth val="0"/>
          <c:extLst>
            <c:ext xmlns:c16="http://schemas.microsoft.com/office/drawing/2014/chart" uri="{C3380CC4-5D6E-409C-BE32-E72D297353CC}">
              <c16:uniqueId val="{00000001-D3D1-47BF-AA85-BBC8689FEA90}"/>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GxA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EXI_beam_diff!$B$6:$B$200</c:f>
              <c:numCache>
                <c:formatCode>0.00000</c:formatCode>
                <c:ptCount val="195"/>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EXI_beam_diff!$R$6:$R$200</c:f>
              <c:numCache>
                <c:formatCode>0.000E+00</c:formatCode>
                <c:ptCount val="195"/>
                <c:pt idx="0">
                  <c:v>1815665.6178841188</c:v>
                </c:pt>
                <c:pt idx="1">
                  <c:v>1571103.6072682207</c:v>
                </c:pt>
                <c:pt idx="2">
                  <c:v>1571103.6072682207</c:v>
                </c:pt>
                <c:pt idx="3">
                  <c:v>1189461.226680404</c:v>
                </c:pt>
                <c:pt idx="4">
                  <c:v>1189461.226680404</c:v>
                </c:pt>
                <c:pt idx="5">
                  <c:v>1096684.6424604999</c:v>
                </c:pt>
                <c:pt idx="6">
                  <c:v>1096684.6424604999</c:v>
                </c:pt>
                <c:pt idx="7">
                  <c:v>1013650.2376039129</c:v>
                </c:pt>
                <c:pt idx="8">
                  <c:v>1013650.2376039129</c:v>
                </c:pt>
                <c:pt idx="9">
                  <c:v>944305.58954613423</c:v>
                </c:pt>
                <c:pt idx="10">
                  <c:v>944305.58954613423</c:v>
                </c:pt>
                <c:pt idx="11">
                  <c:v>1067506.5375236974</c:v>
                </c:pt>
                <c:pt idx="12">
                  <c:v>1067506.5375236974</c:v>
                </c:pt>
                <c:pt idx="13">
                  <c:v>1113378.9634880214</c:v>
                </c:pt>
                <c:pt idx="14">
                  <c:v>1113378.9634880214</c:v>
                </c:pt>
                <c:pt idx="15">
                  <c:v>976219.02452924277</c:v>
                </c:pt>
                <c:pt idx="16">
                  <c:v>976219.02452924277</c:v>
                </c:pt>
                <c:pt idx="17">
                  <c:v>685397.7177819229</c:v>
                </c:pt>
                <c:pt idx="18">
                  <c:v>685397.7177819229</c:v>
                </c:pt>
                <c:pt idx="19">
                  <c:v>600527.14848011115</c:v>
                </c:pt>
                <c:pt idx="20">
                  <c:v>600527.14848011115</c:v>
                </c:pt>
                <c:pt idx="21">
                  <c:v>435084.17256793776</c:v>
                </c:pt>
                <c:pt idx="22">
                  <c:v>435084.17256793776</c:v>
                </c:pt>
                <c:pt idx="23">
                  <c:v>426445.66685777594</c:v>
                </c:pt>
                <c:pt idx="24">
                  <c:v>426445.66685777594</c:v>
                </c:pt>
                <c:pt idx="25">
                  <c:v>328483.48768778367</c:v>
                </c:pt>
                <c:pt idx="26">
                  <c:v>328483.48768778367</c:v>
                </c:pt>
                <c:pt idx="27">
                  <c:v>179842.04809939186</c:v>
                </c:pt>
                <c:pt idx="28">
                  <c:v>179842.04809939186</c:v>
                </c:pt>
                <c:pt idx="29">
                  <c:v>170018.010628121</c:v>
                </c:pt>
                <c:pt idx="30">
                  <c:v>170018.010628121</c:v>
                </c:pt>
                <c:pt idx="31">
                  <c:v>171695.12268481535</c:v>
                </c:pt>
                <c:pt idx="32">
                  <c:v>171695.12268481535</c:v>
                </c:pt>
                <c:pt idx="33">
                  <c:v>135310.77686918364</c:v>
                </c:pt>
                <c:pt idx="34">
                  <c:v>135310.77686918364</c:v>
                </c:pt>
                <c:pt idx="35">
                  <c:v>88545.635618162894</c:v>
                </c:pt>
                <c:pt idx="36">
                  <c:v>88545.635618162894</c:v>
                </c:pt>
                <c:pt idx="37">
                  <c:v>41355.356719405361</c:v>
                </c:pt>
                <c:pt idx="38">
                  <c:v>41355.356719405361</c:v>
                </c:pt>
                <c:pt idx="39">
                  <c:v>35634.168298738055</c:v>
                </c:pt>
              </c:numCache>
            </c:numRef>
          </c:yVal>
          <c:smooth val="0"/>
          <c:extLst>
            <c:ext xmlns:c16="http://schemas.microsoft.com/office/drawing/2014/chart" uri="{C3380CC4-5D6E-409C-BE32-E72D297353CC}">
              <c16:uniqueId val="{00000000-FB36-4E65-9EA7-D334AE552804}"/>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EXI_beam_diff!$AJ$6:$AJ$200</c:f>
              <c:numCache>
                <c:formatCode>General</c:formatCode>
                <c:ptCount val="195"/>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EXI_beam_diff!$AZ$6:$AZ$200</c:f>
              <c:numCache>
                <c:formatCode>0.000E+00</c:formatCode>
                <c:ptCount val="195"/>
                <c:pt idx="0">
                  <c:v>1819921</c:v>
                </c:pt>
                <c:pt idx="1">
                  <c:v>1574576</c:v>
                </c:pt>
                <c:pt idx="2">
                  <c:v>1574576</c:v>
                </c:pt>
                <c:pt idx="3">
                  <c:v>1191675</c:v>
                </c:pt>
                <c:pt idx="4">
                  <c:v>1191675</c:v>
                </c:pt>
                <c:pt idx="5">
                  <c:v>1098259</c:v>
                </c:pt>
                <c:pt idx="6">
                  <c:v>1098259</c:v>
                </c:pt>
                <c:pt idx="7">
                  <c:v>1014849</c:v>
                </c:pt>
                <c:pt idx="8">
                  <c:v>1014849</c:v>
                </c:pt>
                <c:pt idx="9">
                  <c:v>945123.9</c:v>
                </c:pt>
                <c:pt idx="10">
                  <c:v>945123.9</c:v>
                </c:pt>
                <c:pt idx="11">
                  <c:v>1068182</c:v>
                </c:pt>
                <c:pt idx="12">
                  <c:v>1068182</c:v>
                </c:pt>
                <c:pt idx="13">
                  <c:v>1113873</c:v>
                </c:pt>
                <c:pt idx="14">
                  <c:v>1113873</c:v>
                </c:pt>
                <c:pt idx="15">
                  <c:v>976399.7</c:v>
                </c:pt>
                <c:pt idx="16">
                  <c:v>976399.7</c:v>
                </c:pt>
                <c:pt idx="17">
                  <c:v>685495</c:v>
                </c:pt>
                <c:pt idx="18">
                  <c:v>685495</c:v>
                </c:pt>
                <c:pt idx="19">
                  <c:v>600604.19999999995</c:v>
                </c:pt>
                <c:pt idx="20">
                  <c:v>600604.19999999995</c:v>
                </c:pt>
                <c:pt idx="21">
                  <c:v>435174.7</c:v>
                </c:pt>
                <c:pt idx="22">
                  <c:v>435174.7</c:v>
                </c:pt>
                <c:pt idx="23">
                  <c:v>426455.9</c:v>
                </c:pt>
                <c:pt idx="24">
                  <c:v>426455.9</c:v>
                </c:pt>
                <c:pt idx="25">
                  <c:v>328444.79999999999</c:v>
                </c:pt>
                <c:pt idx="26">
                  <c:v>328444.79999999999</c:v>
                </c:pt>
                <c:pt idx="27">
                  <c:v>179764.5</c:v>
                </c:pt>
                <c:pt idx="28">
                  <c:v>179764.5</c:v>
                </c:pt>
                <c:pt idx="29">
                  <c:v>170002.7</c:v>
                </c:pt>
                <c:pt idx="30">
                  <c:v>170002.7</c:v>
                </c:pt>
                <c:pt idx="31">
                  <c:v>171737.1</c:v>
                </c:pt>
                <c:pt idx="32">
                  <c:v>171737.1</c:v>
                </c:pt>
                <c:pt idx="33">
                  <c:v>135344.5</c:v>
                </c:pt>
                <c:pt idx="34">
                  <c:v>135344.5</c:v>
                </c:pt>
                <c:pt idx="35">
                  <c:v>88508.95</c:v>
                </c:pt>
                <c:pt idx="36">
                  <c:v>88508.95</c:v>
                </c:pt>
                <c:pt idx="37">
                  <c:v>41357.47</c:v>
                </c:pt>
                <c:pt idx="38">
                  <c:v>41357.47</c:v>
                </c:pt>
                <c:pt idx="39">
                  <c:v>35649.440000000002</c:v>
                </c:pt>
              </c:numCache>
            </c:numRef>
          </c:yVal>
          <c:smooth val="0"/>
          <c:extLst>
            <c:ext xmlns:c16="http://schemas.microsoft.com/office/drawing/2014/chart" uri="{C3380CC4-5D6E-409C-BE32-E72D297353CC}">
              <c16:uniqueId val="{00000001-FB36-4E65-9EA7-D334AE552804}"/>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2"/>
                <c:order val="2"/>
                <c:tx>
                  <c:strRef>
                    <c:extLst>
                      <c:ext uri="{02D57815-91ED-43cb-92C2-25804820EDAC}">
                        <c15:formulaRef>
                          <c15:sqref>NASA!$BT$5</c15:sqref>
                        </c15:formulaRef>
                      </c:ext>
                    </c:extLst>
                    <c:strCache>
                      <c:ptCount val="1"/>
                      <c:pt idx="0">
                        <c:v>η</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extLst>
                      <c:ext uri="{02D57815-91ED-43cb-92C2-25804820EDAC}">
                        <c15:formulaRef>
                          <c15:sqref>NASA!$BL$4:$BL$32</c15:sqref>
                        </c15:formulaRef>
                      </c:ext>
                    </c:extLst>
                    <c:strCache>
                      <c:ptCount val="27"/>
                      <c:pt idx="0">
                        <c:v>in</c:v>
                      </c:pt>
                      <c:pt idx="1">
                        <c:v>R</c:v>
                      </c:pt>
                      <c:pt idx="2">
                        <c:v>m</c:v>
                      </c:pt>
                      <c:pt idx="3">
                        <c:v>0.15</c:v>
                      </c:pt>
                      <c:pt idx="4">
                        <c:v>0.21</c:v>
                      </c:pt>
                      <c:pt idx="5">
                        <c:v>0.27</c:v>
                      </c:pt>
                      <c:pt idx="6">
                        <c:v>0.34</c:v>
                      </c:pt>
                      <c:pt idx="7">
                        <c:v>0.57</c:v>
                      </c:pt>
                      <c:pt idx="8">
                        <c:v>0.60</c:v>
                      </c:pt>
                      <c:pt idx="9">
                        <c:v>0.70</c:v>
                      </c:pt>
                      <c:pt idx="10">
                        <c:v>0.80</c:v>
                      </c:pt>
                      <c:pt idx="11">
                        <c:v>0.92</c:v>
                      </c:pt>
                      <c:pt idx="12">
                        <c:v>0.92</c:v>
                      </c:pt>
                      <c:pt idx="13">
                        <c:v>0.94</c:v>
                      </c:pt>
                      <c:pt idx="14">
                        <c:v>1.05</c:v>
                      </c:pt>
                      <c:pt idx="15">
                        <c:v>1.10</c:v>
                      </c:pt>
                      <c:pt idx="16">
                        <c:v>1.17</c:v>
                      </c:pt>
                      <c:pt idx="17">
                        <c:v>1.18</c:v>
                      </c:pt>
                      <c:pt idx="18">
                        <c:v>1.31</c:v>
                      </c:pt>
                      <c:pt idx="19">
                        <c:v>1.35</c:v>
                      </c:pt>
                      <c:pt idx="20">
                        <c:v>1.47</c:v>
                      </c:pt>
                      <c:pt idx="21">
                        <c:v>1.47</c:v>
                      </c:pt>
                      <c:pt idx="22">
                        <c:v>1.48</c:v>
                      </c:pt>
                      <c:pt idx="23">
                        <c:v>1.49</c:v>
                      </c:pt>
                      <c:pt idx="24">
                        <c:v>1.58</c:v>
                      </c:pt>
                      <c:pt idx="25">
                        <c:v>1.60</c:v>
                      </c:pt>
                      <c:pt idx="26">
                        <c:v>1.60</c:v>
                      </c:pt>
                    </c:strCache>
                  </c:strRef>
                </c:xVal>
                <c:yVal>
                  <c:numRef>
                    <c:extLst>
                      <c:ext uri="{02D57815-91ED-43cb-92C2-25804820EDAC}">
                        <c15:formulaRef>
                          <c15:sqref>NASA!$BT$4:$BT$32</c15:sqref>
                        </c15:formulaRef>
                      </c:ext>
                    </c:extLst>
                    <c:numCache>
                      <c:formatCode>General</c:formatCode>
                      <c:ptCount val="29"/>
                      <c:pt idx="0">
                        <c:v>0</c:v>
                      </c:pt>
                      <c:pt idx="1">
                        <c:v>0</c:v>
                      </c:pt>
                      <c:pt idx="2">
                        <c:v>0</c:v>
                      </c:pt>
                      <c:pt idx="3" formatCode="0.000">
                        <c:v>-2.5400000000000001E-5</c:v>
                      </c:pt>
                      <c:pt idx="4" formatCode="0.000">
                        <c:v>-2.5400000000000001E-5</c:v>
                      </c:pt>
                      <c:pt idx="5" formatCode="0.000">
                        <c:v>-1.3207999999999998E-3</c:v>
                      </c:pt>
                      <c:pt idx="6" formatCode="0.000">
                        <c:v>-1.2953999999999999E-3</c:v>
                      </c:pt>
                      <c:pt idx="7" formatCode="0.000">
                        <c:v>-6.603999999999999E-4</c:v>
                      </c:pt>
                      <c:pt idx="8" formatCode="0.000">
                        <c:v>-6.3500000000000004E-4</c:v>
                      </c:pt>
                      <c:pt idx="9" formatCode="0.000">
                        <c:v>-1.2953999999999999E-3</c:v>
                      </c:pt>
                      <c:pt idx="10" formatCode="0.000">
                        <c:v>-7.8739999999999995E-4</c:v>
                      </c:pt>
                      <c:pt idx="11" formatCode="0.000">
                        <c:v>2.1843999999999995E-3</c:v>
                      </c:pt>
                      <c:pt idx="12" formatCode="0.000">
                        <c:v>2.2097999999999996E-3</c:v>
                      </c:pt>
                      <c:pt idx="13" formatCode="0.000">
                        <c:v>2.1589999999999999E-3</c:v>
                      </c:pt>
                      <c:pt idx="14" formatCode="0.000">
                        <c:v>3.2173333333333333E-3</c:v>
                      </c:pt>
                      <c:pt idx="15" formatCode="0.000">
                        <c:v>4.4449999999999993E-3</c:v>
                      </c:pt>
                      <c:pt idx="16" formatCode="0.000">
                        <c:v>4.4703999999999994E-3</c:v>
                      </c:pt>
                      <c:pt idx="17" formatCode="0.000">
                        <c:v>4.4703999999999994E-3</c:v>
                      </c:pt>
                      <c:pt idx="18" formatCode="0.000">
                        <c:v>5.5541333333333333E-3</c:v>
                      </c:pt>
                      <c:pt idx="19" formatCode="0.000">
                        <c:v>6.6039999999999996E-3</c:v>
                      </c:pt>
                      <c:pt idx="20" formatCode="0.000">
                        <c:v>6.6293999999999997E-3</c:v>
                      </c:pt>
                      <c:pt idx="21" formatCode="0.000">
                        <c:v>6.7818000000000002E-3</c:v>
                      </c:pt>
                      <c:pt idx="22" formatCode="0.000">
                        <c:v>6.6293999999999997E-3</c:v>
                      </c:pt>
                      <c:pt idx="23" formatCode="0.000">
                        <c:v>6.8072000000000002E-3</c:v>
                      </c:pt>
                      <c:pt idx="24" formatCode="0.000">
                        <c:v>4.6355E-2</c:v>
                      </c:pt>
                      <c:pt idx="25" formatCode="0.000">
                        <c:v>5.7327799999999998E-2</c:v>
                      </c:pt>
                      <c:pt idx="26" formatCode="0.000">
                        <c:v>5.7327799999999998E-2</c:v>
                      </c:pt>
                    </c:numCache>
                  </c:numRef>
                </c:yVal>
                <c:smooth val="0"/>
                <c:extLst>
                  <c:ext xmlns:c16="http://schemas.microsoft.com/office/drawing/2014/chart" uri="{C3380CC4-5D6E-409C-BE32-E72D297353CC}">
                    <c16:uniqueId val="{00000002-FB36-4E65-9EA7-D334AE552804}"/>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GAxX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EXI_beam_diff!$B$6:$B$203</c:f>
              <c:numCache>
                <c:formatCode>0.00000</c:formatCode>
                <c:ptCount val="198"/>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EXI_beam_diff!$T$6:$T$203</c:f>
              <c:numCache>
                <c:formatCode>0.00000E+00</c:formatCode>
                <c:ptCount val="198"/>
                <c:pt idx="0">
                  <c:v>648.67647253792052</c:v>
                </c:pt>
                <c:pt idx="1">
                  <c:v>1350.3031055751044</c:v>
                </c:pt>
                <c:pt idx="2">
                  <c:v>1350.3031055751044</c:v>
                </c:pt>
                <c:pt idx="3">
                  <c:v>3237.4953927887304</c:v>
                </c:pt>
                <c:pt idx="4">
                  <c:v>3237.4953927887304</c:v>
                </c:pt>
                <c:pt idx="5">
                  <c:v>3315.9766092129021</c:v>
                </c:pt>
                <c:pt idx="6">
                  <c:v>3315.9766092129021</c:v>
                </c:pt>
                <c:pt idx="7">
                  <c:v>3278.4499823542224</c:v>
                </c:pt>
                <c:pt idx="8">
                  <c:v>3278.4499823542224</c:v>
                </c:pt>
                <c:pt idx="9">
                  <c:v>2593.5712235339188</c:v>
                </c:pt>
                <c:pt idx="10">
                  <c:v>2593.5712235339188</c:v>
                </c:pt>
                <c:pt idx="11">
                  <c:v>2914.8856744035338</c:v>
                </c:pt>
                <c:pt idx="12">
                  <c:v>2914.8856744035338</c:v>
                </c:pt>
                <c:pt idx="13">
                  <c:v>3188.7624600173622</c:v>
                </c:pt>
                <c:pt idx="14">
                  <c:v>3188.7624600173622</c:v>
                </c:pt>
                <c:pt idx="15">
                  <c:v>2795.1290916281109</c:v>
                </c:pt>
                <c:pt idx="16">
                  <c:v>2795.1290916281109</c:v>
                </c:pt>
                <c:pt idx="17">
                  <c:v>2066.5637796530418</c:v>
                </c:pt>
                <c:pt idx="18">
                  <c:v>2066.5637796530418</c:v>
                </c:pt>
                <c:pt idx="19">
                  <c:v>1725.0789399114963</c:v>
                </c:pt>
                <c:pt idx="20">
                  <c:v>1725.0789399114963</c:v>
                </c:pt>
                <c:pt idx="21">
                  <c:v>1201.6037906452382</c:v>
                </c:pt>
                <c:pt idx="22">
                  <c:v>1201.6037906452382</c:v>
                </c:pt>
                <c:pt idx="23">
                  <c:v>1186.5086990657298</c:v>
                </c:pt>
                <c:pt idx="24">
                  <c:v>1186.5086990657298</c:v>
                </c:pt>
                <c:pt idx="25">
                  <c:v>771.9276739646084</c:v>
                </c:pt>
                <c:pt idx="26">
                  <c:v>771.9276739646084</c:v>
                </c:pt>
                <c:pt idx="27">
                  <c:v>285.53625638346085</c:v>
                </c:pt>
                <c:pt idx="28">
                  <c:v>285.53625638346085</c:v>
                </c:pt>
                <c:pt idx="29">
                  <c:v>254.9561891521127</c:v>
                </c:pt>
                <c:pt idx="30">
                  <c:v>254.9561891521127</c:v>
                </c:pt>
                <c:pt idx="31">
                  <c:v>258.88869128294493</c:v>
                </c:pt>
                <c:pt idx="32">
                  <c:v>258.88869128294493</c:v>
                </c:pt>
                <c:pt idx="33">
                  <c:v>212.47416036079775</c:v>
                </c:pt>
                <c:pt idx="34">
                  <c:v>212.47416036079775</c:v>
                </c:pt>
                <c:pt idx="35">
                  <c:v>124.93133121968052</c:v>
                </c:pt>
                <c:pt idx="36">
                  <c:v>124.93133121968052</c:v>
                </c:pt>
                <c:pt idx="37">
                  <c:v>36.59265817727993</c:v>
                </c:pt>
                <c:pt idx="38">
                  <c:v>36.59265817727993</c:v>
                </c:pt>
                <c:pt idx="39">
                  <c:v>23.199397778334987</c:v>
                </c:pt>
              </c:numCache>
            </c:numRef>
          </c:yVal>
          <c:smooth val="0"/>
          <c:extLst>
            <c:ext xmlns:c16="http://schemas.microsoft.com/office/drawing/2014/chart" uri="{C3380CC4-5D6E-409C-BE32-E72D297353CC}">
              <c16:uniqueId val="{00000000-B28C-48C3-82BB-3F3EF09C0BAD}"/>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EXI_beam_diff!$AJ$6:$AJ$203</c:f>
              <c:numCache>
                <c:formatCode>General</c:formatCode>
                <c:ptCount val="198"/>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EXI_beam_diff!$BB$6:$BB$203</c:f>
              <c:numCache>
                <c:formatCode>0.00E+00</c:formatCode>
                <c:ptCount val="198"/>
                <c:pt idx="0">
                  <c:v>-313.51220000000001</c:v>
                </c:pt>
                <c:pt idx="1">
                  <c:v>1287.829</c:v>
                </c:pt>
                <c:pt idx="2">
                  <c:v>1287.829</c:v>
                </c:pt>
                <c:pt idx="3">
                  <c:v>3588.9380000000001</c:v>
                </c:pt>
                <c:pt idx="4">
                  <c:v>3588.9380000000001</c:v>
                </c:pt>
                <c:pt idx="5">
                  <c:v>3637.9389999999999</c:v>
                </c:pt>
                <c:pt idx="6">
                  <c:v>3637.9389999999999</c:v>
                </c:pt>
                <c:pt idx="7">
                  <c:v>3569.81</c:v>
                </c:pt>
                <c:pt idx="8">
                  <c:v>3569.81</c:v>
                </c:pt>
                <c:pt idx="9">
                  <c:v>2744.4670000000001</c:v>
                </c:pt>
                <c:pt idx="10">
                  <c:v>2744.4670000000001</c:v>
                </c:pt>
                <c:pt idx="11">
                  <c:v>3190.3090000000002</c:v>
                </c:pt>
                <c:pt idx="12">
                  <c:v>3190.3090000000002</c:v>
                </c:pt>
                <c:pt idx="13">
                  <c:v>3578.194</c:v>
                </c:pt>
                <c:pt idx="14">
                  <c:v>3578.194</c:v>
                </c:pt>
                <c:pt idx="15">
                  <c:v>3116.3290000000002</c:v>
                </c:pt>
                <c:pt idx="16">
                  <c:v>3116.3290000000002</c:v>
                </c:pt>
                <c:pt idx="17">
                  <c:v>2275.8389999999999</c:v>
                </c:pt>
                <c:pt idx="18">
                  <c:v>2275.8389999999999</c:v>
                </c:pt>
                <c:pt idx="19">
                  <c:v>1916.6780000000001</c:v>
                </c:pt>
                <c:pt idx="20">
                  <c:v>1916.6780000000001</c:v>
                </c:pt>
                <c:pt idx="21">
                  <c:v>1332.4390000000001</c:v>
                </c:pt>
                <c:pt idx="22">
                  <c:v>1332.4390000000001</c:v>
                </c:pt>
                <c:pt idx="23">
                  <c:v>1361.894</c:v>
                </c:pt>
                <c:pt idx="24">
                  <c:v>1361.894</c:v>
                </c:pt>
                <c:pt idx="25">
                  <c:v>882.75139999999999</c:v>
                </c:pt>
                <c:pt idx="26">
                  <c:v>882.75139999999999</c:v>
                </c:pt>
                <c:pt idx="27">
                  <c:v>366.47500000000002</c:v>
                </c:pt>
                <c:pt idx="28">
                  <c:v>366.47500000000002</c:v>
                </c:pt>
                <c:pt idx="29">
                  <c:v>356.05259999999998</c:v>
                </c:pt>
                <c:pt idx="30">
                  <c:v>356.05259999999998</c:v>
                </c:pt>
                <c:pt idx="31">
                  <c:v>377.8134</c:v>
                </c:pt>
                <c:pt idx="32">
                  <c:v>377.8134</c:v>
                </c:pt>
                <c:pt idx="33">
                  <c:v>279.37920000000003</c:v>
                </c:pt>
                <c:pt idx="34">
                  <c:v>279.37920000000003</c:v>
                </c:pt>
                <c:pt idx="35">
                  <c:v>141.98820000000001</c:v>
                </c:pt>
                <c:pt idx="36">
                  <c:v>141.98820000000001</c:v>
                </c:pt>
                <c:pt idx="37">
                  <c:v>46.010179999999998</c:v>
                </c:pt>
                <c:pt idx="38">
                  <c:v>46.010179999999998</c:v>
                </c:pt>
                <c:pt idx="39">
                  <c:v>55.325020000000002</c:v>
                </c:pt>
              </c:numCache>
            </c:numRef>
          </c:yVal>
          <c:smooth val="0"/>
          <c:extLst>
            <c:ext xmlns:c16="http://schemas.microsoft.com/office/drawing/2014/chart" uri="{C3380CC4-5D6E-409C-BE32-E72D297353CC}">
              <c16:uniqueId val="{00000001-B28C-48C3-82BB-3F3EF09C0BAD}"/>
            </c:ext>
          </c:extLst>
        </c:ser>
        <c:ser>
          <c:idx val="2"/>
          <c:order val="2"/>
          <c:tx>
            <c:strRef>
              <c:f>NASA_2_CORAL!$CF$2</c:f>
              <c:strCache>
                <c:ptCount val="1"/>
                <c:pt idx="0">
                  <c:v>Direct method</c:v>
                </c:pt>
              </c:strCache>
            </c:strRef>
          </c:tx>
          <c:spPr>
            <a:ln w="19050" cap="rnd">
              <a:solidFill>
                <a:srgbClr val="C00000"/>
              </a:solidFill>
              <a:prstDash val="sysDash"/>
              <a:round/>
            </a:ln>
            <a:effectLst/>
          </c:spPr>
          <c:marker>
            <c:symbol val="dash"/>
            <c:size val="5"/>
            <c:spPr>
              <a:solidFill>
                <a:srgbClr val="C00000"/>
              </a:solidFill>
              <a:ln w="9525">
                <a:solidFill>
                  <a:srgbClr val="C00000"/>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NASA_2_CORAL!$CH$6:$CH$195</c:f>
              <c:numCache>
                <c:formatCode>0.00E+00</c:formatCode>
                <c:ptCount val="190"/>
                <c:pt idx="0">
                  <c:v>553.41489497446389</c:v>
                </c:pt>
                <c:pt idx="1">
                  <c:v>553.46207581287911</c:v>
                </c:pt>
                <c:pt idx="2">
                  <c:v>1895.3147163171855</c:v>
                </c:pt>
                <c:pt idx="3">
                  <c:v>3337.705001410402</c:v>
                </c:pt>
                <c:pt idx="4">
                  <c:v>3229.3161305177887</c:v>
                </c:pt>
                <c:pt idx="5">
                  <c:v>2176.392702377429</c:v>
                </c:pt>
                <c:pt idx="6">
                  <c:v>3222.6742725216</c:v>
                </c:pt>
                <c:pt idx="7">
                  <c:v>3140.7777794718622</c:v>
                </c:pt>
                <c:pt idx="8">
                  <c:v>1967.6000490838401</c:v>
                </c:pt>
                <c:pt idx="9">
                  <c:v>2075.0967878176116</c:v>
                </c:pt>
                <c:pt idx="10">
                  <c:v>1979.9174097027542</c:v>
                </c:pt>
                <c:pt idx="11">
                  <c:v>1552.1448463397671</c:v>
                </c:pt>
                <c:pt idx="12">
                  <c:v>1168.6456087604231</c:v>
                </c:pt>
                <c:pt idx="13">
                  <c:v>1163.5391415202164</c:v>
                </c:pt>
                <c:pt idx="14">
                  <c:v>1193.5086834032302</c:v>
                </c:pt>
                <c:pt idx="15">
                  <c:v>547.60453082698416</c:v>
                </c:pt>
                <c:pt idx="16">
                  <c:v>264.35328892101677</c:v>
                </c:pt>
                <c:pt idx="17">
                  <c:v>258.60636239327204</c:v>
                </c:pt>
                <c:pt idx="18">
                  <c:v>236.69804645428863</c:v>
                </c:pt>
                <c:pt idx="19">
                  <c:v>266.03787807112093</c:v>
                </c:pt>
                <c:pt idx="20">
                  <c:v>283.85674816276503</c:v>
                </c:pt>
                <c:pt idx="21">
                  <c:v>34.602024978945252</c:v>
                </c:pt>
                <c:pt idx="22">
                  <c:v>25.343194161091553</c:v>
                </c:pt>
                <c:pt idx="23">
                  <c:v>25.343020494062497</c:v>
                </c:pt>
              </c:numCache>
            </c:numRef>
          </c:yVal>
          <c:smooth val="0"/>
          <c:extLst xmlns:c15="http://schemas.microsoft.com/office/drawing/2012/chart">
            <c:ext xmlns:c16="http://schemas.microsoft.com/office/drawing/2014/chart" uri="{C3380CC4-5D6E-409C-BE32-E72D297353CC}">
              <c16:uniqueId val="{00000002-B28C-48C3-82BB-3F3EF09C0BAD}"/>
            </c:ext>
          </c:extLst>
        </c:ser>
        <c:dLbls>
          <c:showLegendKey val="0"/>
          <c:showVal val="0"/>
          <c:showCatName val="0"/>
          <c:showSerName val="0"/>
          <c:showPercent val="0"/>
          <c:showBubbleSize val="0"/>
        </c:dLbls>
        <c:axId val="1404007295"/>
        <c:axId val="1404002015"/>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 GAzZ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manualLayout>
          <c:layoutTarget val="inner"/>
          <c:xMode val="edge"/>
          <c:yMode val="edge"/>
          <c:x val="9.9973532095749648E-2"/>
          <c:y val="0.22718091524832162"/>
          <c:w val="0.85999606635468639"/>
          <c:h val="0.73114502245536894"/>
        </c:manualLayout>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EXI_beam_diff!$B$6:$B$201</c:f>
              <c:numCache>
                <c:formatCode>0.00000</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EXI_beam_diff!$U$6:$U$45</c:f>
              <c:numCache>
                <c:formatCode>0.00000E+00</c:formatCode>
                <c:ptCount val="40"/>
                <c:pt idx="0">
                  <c:v>5218.6369212505742</c:v>
                </c:pt>
                <c:pt idx="1">
                  <c:v>2256.507332164299</c:v>
                </c:pt>
                <c:pt idx="2">
                  <c:v>2256.507332164299</c:v>
                </c:pt>
                <c:pt idx="3">
                  <c:v>797.18325228445258</c:v>
                </c:pt>
                <c:pt idx="4">
                  <c:v>797.18325228445258</c:v>
                </c:pt>
                <c:pt idx="5">
                  <c:v>1173.0601274036683</c:v>
                </c:pt>
                <c:pt idx="6">
                  <c:v>1173.0601274036683</c:v>
                </c:pt>
                <c:pt idx="7">
                  <c:v>1504.7327586487916</c:v>
                </c:pt>
                <c:pt idx="8">
                  <c:v>1504.7327586487916</c:v>
                </c:pt>
                <c:pt idx="9">
                  <c:v>1853.8640103468956</c:v>
                </c:pt>
                <c:pt idx="10">
                  <c:v>1853.8640103468956</c:v>
                </c:pt>
                <c:pt idx="11">
                  <c:v>1179.5363361661368</c:v>
                </c:pt>
                <c:pt idx="12">
                  <c:v>1179.5363361661368</c:v>
                </c:pt>
                <c:pt idx="13">
                  <c:v>936.64884909864577</c:v>
                </c:pt>
                <c:pt idx="14">
                  <c:v>936.64884909864577</c:v>
                </c:pt>
                <c:pt idx="15">
                  <c:v>1253.5947577136394</c:v>
                </c:pt>
                <c:pt idx="16">
                  <c:v>1253.5947577136394</c:v>
                </c:pt>
                <c:pt idx="17">
                  <c:v>1827.5573255051081</c:v>
                </c:pt>
                <c:pt idx="18">
                  <c:v>1827.5573255051081</c:v>
                </c:pt>
                <c:pt idx="19">
                  <c:v>1852.9462643829249</c:v>
                </c:pt>
                <c:pt idx="20">
                  <c:v>1852.9462643829249</c:v>
                </c:pt>
                <c:pt idx="21">
                  <c:v>2612.3240233424808</c:v>
                </c:pt>
                <c:pt idx="22">
                  <c:v>2612.3240233424808</c:v>
                </c:pt>
                <c:pt idx="23">
                  <c:v>2686.6331328779038</c:v>
                </c:pt>
                <c:pt idx="24">
                  <c:v>2686.6331328779038</c:v>
                </c:pt>
                <c:pt idx="25">
                  <c:v>1823.1946998850851</c:v>
                </c:pt>
                <c:pt idx="26">
                  <c:v>1823.1946998850851</c:v>
                </c:pt>
                <c:pt idx="27">
                  <c:v>1220.7129095470477</c:v>
                </c:pt>
                <c:pt idx="28">
                  <c:v>1220.7129095470477</c:v>
                </c:pt>
                <c:pt idx="29">
                  <c:v>1208.2091660079498</c:v>
                </c:pt>
                <c:pt idx="30">
                  <c:v>1208.2091660079498</c:v>
                </c:pt>
                <c:pt idx="31">
                  <c:v>1265.4877141292075</c:v>
                </c:pt>
                <c:pt idx="32">
                  <c:v>1265.4877141292075</c:v>
                </c:pt>
                <c:pt idx="33">
                  <c:v>978.77493140658521</c:v>
                </c:pt>
                <c:pt idx="34">
                  <c:v>978.77493140658521</c:v>
                </c:pt>
                <c:pt idx="35">
                  <c:v>525.28371428097478</c:v>
                </c:pt>
                <c:pt idx="36">
                  <c:v>525.28371428097478</c:v>
                </c:pt>
                <c:pt idx="37">
                  <c:v>67.669849726947177</c:v>
                </c:pt>
                <c:pt idx="38">
                  <c:v>67.669849726947177</c:v>
                </c:pt>
                <c:pt idx="39">
                  <c:v>270.83207144966758</c:v>
                </c:pt>
              </c:numCache>
            </c:numRef>
          </c:yVal>
          <c:smooth val="0"/>
          <c:extLst>
            <c:ext xmlns:c16="http://schemas.microsoft.com/office/drawing/2014/chart" uri="{C3380CC4-5D6E-409C-BE32-E72D297353CC}">
              <c16:uniqueId val="{00000000-DA87-467F-B403-065708FACC72}"/>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EXI_beam_diff!$AJ$6:$AJ$201</c:f>
              <c:numCache>
                <c:formatCode>General</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EXI_beam_diff!$BC$6:$BC$201</c:f>
              <c:numCache>
                <c:formatCode>0.00E+00</c:formatCode>
                <c:ptCount val="196"/>
                <c:pt idx="0">
                  <c:v>6770.7340000000004</c:v>
                </c:pt>
                <c:pt idx="1">
                  <c:v>2694.7660000000001</c:v>
                </c:pt>
                <c:pt idx="2">
                  <c:v>2694.7660000000001</c:v>
                </c:pt>
                <c:pt idx="3">
                  <c:v>1439.913</c:v>
                </c:pt>
                <c:pt idx="4">
                  <c:v>1439.913</c:v>
                </c:pt>
                <c:pt idx="5">
                  <c:v>1955.7239999999999</c:v>
                </c:pt>
                <c:pt idx="6">
                  <c:v>1955.7239999999999</c:v>
                </c:pt>
                <c:pt idx="7">
                  <c:v>2334.0059999999999</c:v>
                </c:pt>
                <c:pt idx="8">
                  <c:v>2334.0059999999999</c:v>
                </c:pt>
                <c:pt idx="9">
                  <c:v>2618.56</c:v>
                </c:pt>
                <c:pt idx="10">
                  <c:v>2618.56</c:v>
                </c:pt>
                <c:pt idx="11">
                  <c:v>1802.4580000000001</c:v>
                </c:pt>
                <c:pt idx="12">
                  <c:v>1802.4580000000001</c:v>
                </c:pt>
                <c:pt idx="13">
                  <c:v>1410.9480000000001</c:v>
                </c:pt>
                <c:pt idx="14">
                  <c:v>1410.9480000000001</c:v>
                </c:pt>
                <c:pt idx="15">
                  <c:v>1967.047</c:v>
                </c:pt>
                <c:pt idx="16">
                  <c:v>1967.047</c:v>
                </c:pt>
                <c:pt idx="17">
                  <c:v>2447.9009999999998</c:v>
                </c:pt>
                <c:pt idx="18">
                  <c:v>2447.9009999999998</c:v>
                </c:pt>
                <c:pt idx="19">
                  <c:v>2473.2429999999999</c:v>
                </c:pt>
                <c:pt idx="20">
                  <c:v>2473.2429999999999</c:v>
                </c:pt>
                <c:pt idx="21">
                  <c:v>3438.1950000000002</c:v>
                </c:pt>
                <c:pt idx="22">
                  <c:v>3438.1950000000002</c:v>
                </c:pt>
                <c:pt idx="23">
                  <c:v>3489.7930000000001</c:v>
                </c:pt>
                <c:pt idx="24">
                  <c:v>3489.7930000000001</c:v>
                </c:pt>
                <c:pt idx="25">
                  <c:v>2294.5300000000002</c:v>
                </c:pt>
                <c:pt idx="26">
                  <c:v>2294.5300000000002</c:v>
                </c:pt>
                <c:pt idx="27">
                  <c:v>1600.873</c:v>
                </c:pt>
                <c:pt idx="28">
                  <c:v>1600.873</c:v>
                </c:pt>
                <c:pt idx="29">
                  <c:v>1558.4290000000001</c:v>
                </c:pt>
                <c:pt idx="30">
                  <c:v>1558.4290000000001</c:v>
                </c:pt>
                <c:pt idx="31">
                  <c:v>1629.7149999999999</c:v>
                </c:pt>
                <c:pt idx="32">
                  <c:v>1629.7149999999999</c:v>
                </c:pt>
                <c:pt idx="33">
                  <c:v>1054.77</c:v>
                </c:pt>
                <c:pt idx="34">
                  <c:v>1054.77</c:v>
                </c:pt>
                <c:pt idx="35">
                  <c:v>427.86669999999998</c:v>
                </c:pt>
                <c:pt idx="36">
                  <c:v>427.86669999999998</c:v>
                </c:pt>
                <c:pt idx="37">
                  <c:v>76.918719999999993</c:v>
                </c:pt>
                <c:pt idx="38">
                  <c:v>76.918719999999993</c:v>
                </c:pt>
                <c:pt idx="39">
                  <c:v>430.67450000000002</c:v>
                </c:pt>
              </c:numCache>
            </c:numRef>
          </c:yVal>
          <c:smooth val="0"/>
          <c:extLst>
            <c:ext xmlns:c16="http://schemas.microsoft.com/office/drawing/2014/chart" uri="{C3380CC4-5D6E-409C-BE32-E72D297353CC}">
              <c16:uniqueId val="{00000001-DA87-467F-B403-065708FACC72}"/>
            </c:ext>
          </c:extLst>
        </c:ser>
        <c:ser>
          <c:idx val="2"/>
          <c:order val="2"/>
          <c:tx>
            <c:strRef>
              <c:f>NASA_2_CORAL!$CF$2</c:f>
              <c:strCache>
                <c:ptCount val="1"/>
                <c:pt idx="0">
                  <c:v>Direct method</c:v>
                </c:pt>
              </c:strCache>
            </c:strRef>
          </c:tx>
          <c:spPr>
            <a:ln w="19050" cap="rnd">
              <a:solidFill>
                <a:schemeClr val="accent3"/>
              </a:solidFill>
              <a:round/>
            </a:ln>
            <a:effectLst/>
          </c:spPr>
          <c:marker>
            <c:symbol val="dash"/>
            <c:size val="5"/>
            <c:spPr>
              <a:solidFill>
                <a:srgbClr val="C00000">
                  <a:alpha val="98000"/>
                </a:srgbClr>
              </a:solidFill>
              <a:ln w="9525">
                <a:solidFill>
                  <a:srgbClr val="C00000"/>
                </a:solidFill>
              </a:ln>
              <a:effectLst/>
            </c:spPr>
          </c:marker>
          <c:xVal>
            <c:numRef>
              <c:f>NASA_2_CORAL!$BJ$6:$BJ$195</c:f>
              <c:numCache>
                <c:formatCode>0.0000</c:formatCode>
                <c:ptCount val="190"/>
                <c:pt idx="0">
                  <c:v>0.14732000000000001</c:v>
                </c:pt>
                <c:pt idx="1">
                  <c:v>0.2117598</c:v>
                </c:pt>
                <c:pt idx="2">
                  <c:v>0.27425650000000001</c:v>
                </c:pt>
                <c:pt idx="3">
                  <c:v>0.33675319999999997</c:v>
                </c:pt>
                <c:pt idx="4">
                  <c:v>0.56815990000000005</c:v>
                </c:pt>
                <c:pt idx="5">
                  <c:v>0.59518550000000003</c:v>
                </c:pt>
                <c:pt idx="6">
                  <c:v>0.70328789999999997</c:v>
                </c:pt>
                <c:pt idx="7">
                  <c:v>0.80463390000000001</c:v>
                </c:pt>
                <c:pt idx="8">
                  <c:v>0.91611449999999994</c:v>
                </c:pt>
                <c:pt idx="9">
                  <c:v>0.92456000000000005</c:v>
                </c:pt>
                <c:pt idx="10">
                  <c:v>0.93807280000000004</c:v>
                </c:pt>
                <c:pt idx="11">
                  <c:v>1.0529316</c:v>
                </c:pt>
                <c:pt idx="12">
                  <c:v>1.0951590999999998</c:v>
                </c:pt>
                <c:pt idx="13">
                  <c:v>1.1694794999999998</c:v>
                </c:pt>
                <c:pt idx="14">
                  <c:v>1.1779249999999999</c:v>
                </c:pt>
                <c:pt idx="15">
                  <c:v>1.3062965999999998</c:v>
                </c:pt>
                <c:pt idx="16">
                  <c:v>1.3485240999999999</c:v>
                </c:pt>
                <c:pt idx="17">
                  <c:v>1.4735175</c:v>
                </c:pt>
                <c:pt idx="18">
                  <c:v>1.4650719999999999</c:v>
                </c:pt>
                <c:pt idx="19">
                  <c:v>1.4819630000000001</c:v>
                </c:pt>
                <c:pt idx="20">
                  <c:v>1.4920976000000001</c:v>
                </c:pt>
                <c:pt idx="21">
                  <c:v>1.5833089999999999</c:v>
                </c:pt>
                <c:pt idx="22">
                  <c:v>1.5968218000000001</c:v>
                </c:pt>
                <c:pt idx="23">
                  <c:v>1.6001999999999998</c:v>
                </c:pt>
              </c:numCache>
            </c:numRef>
          </c:xVal>
          <c:yVal>
            <c:numRef>
              <c:f>NASA_2_CORAL!$CI$6:$CI$195</c:f>
              <c:numCache>
                <c:formatCode>0.00E+00</c:formatCode>
                <c:ptCount val="190"/>
                <c:pt idx="0">
                  <c:v>5209.6356709481233</c:v>
                </c:pt>
                <c:pt idx="1">
                  <c:v>5209.1363404082294</c:v>
                </c:pt>
                <c:pt idx="2">
                  <c:v>-62.389839801269865</c:v>
                </c:pt>
                <c:pt idx="3">
                  <c:v>820.62689197552766</c:v>
                </c:pt>
                <c:pt idx="4">
                  <c:v>1731.0002293763484</c:v>
                </c:pt>
                <c:pt idx="5">
                  <c:v>1887.2099438951304</c:v>
                </c:pt>
                <c:pt idx="6">
                  <c:v>833.93176841903744</c:v>
                </c:pt>
                <c:pt idx="7">
                  <c:v>993.49368014155687</c:v>
                </c:pt>
                <c:pt idx="8">
                  <c:v>1803.1870539306231</c:v>
                </c:pt>
                <c:pt idx="9">
                  <c:v>1821.756837905139</c:v>
                </c:pt>
                <c:pt idx="10">
                  <c:v>1845.1235969963773</c:v>
                </c:pt>
                <c:pt idx="11">
                  <c:v>1849.5726150669968</c:v>
                </c:pt>
                <c:pt idx="12">
                  <c:v>2672.0879476584255</c:v>
                </c:pt>
                <c:pt idx="13">
                  <c:v>2679.3858728367359</c:v>
                </c:pt>
                <c:pt idx="14">
                  <c:v>2688.8241980100679</c:v>
                </c:pt>
                <c:pt idx="15">
                  <c:v>1357.1647919448003</c:v>
                </c:pt>
                <c:pt idx="16">
                  <c:v>1208.3728946237154</c:v>
                </c:pt>
                <c:pt idx="17">
                  <c:v>1209.7964184215994</c:v>
                </c:pt>
                <c:pt idx="18">
                  <c:v>1230.8032481512964</c:v>
                </c:pt>
                <c:pt idx="19">
                  <c:v>1266.6710041888841</c:v>
                </c:pt>
                <c:pt idx="20">
                  <c:v>1310.0987033434162</c:v>
                </c:pt>
                <c:pt idx="21">
                  <c:v>1432.0110175653967</c:v>
                </c:pt>
                <c:pt idx="22">
                  <c:v>1803.2425658801772</c:v>
                </c:pt>
                <c:pt idx="23">
                  <c:v>1803.2565150640464</c:v>
                </c:pt>
              </c:numCache>
            </c:numRef>
          </c:yVal>
          <c:smooth val="0"/>
          <c:extLst xmlns:c15="http://schemas.microsoft.com/office/drawing/2012/chart">
            <c:ext xmlns:c16="http://schemas.microsoft.com/office/drawing/2014/chart" uri="{C3380CC4-5D6E-409C-BE32-E72D297353CC}">
              <c16:uniqueId val="{00000002-DA87-467F-B403-065708FACC72}"/>
            </c:ext>
          </c:extLst>
        </c:ser>
        <c:dLbls>
          <c:showLegendKey val="0"/>
          <c:showVal val="0"/>
          <c:showCatName val="0"/>
          <c:showSerName val="0"/>
          <c:showPercent val="0"/>
          <c:showBubbleSize val="0"/>
        </c:dLbls>
        <c:axId val="1404007295"/>
        <c:axId val="1404002015"/>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x_cg</a:t>
            </a:r>
            <a:r>
              <a:rPr lang="en-US" baseline="0"/>
              <a:t> [m]</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EXI_beam_diff!$B$4:$B$100</c:f>
              <c:numCache>
                <c:formatCode>0.00000</c:formatCode>
                <c:ptCount val="97"/>
                <c:pt idx="0">
                  <c:v>0</c:v>
                </c:pt>
                <c:pt idx="1">
                  <c:v>0.14729999999999999</c:v>
                </c:pt>
                <c:pt idx="2">
                  <c:v>0.14729999999999999</c:v>
                </c:pt>
                <c:pt idx="3">
                  <c:v>0.247</c:v>
                </c:pt>
                <c:pt idx="4">
                  <c:v>0.247</c:v>
                </c:pt>
                <c:pt idx="5">
                  <c:v>0.33189999999999997</c:v>
                </c:pt>
                <c:pt idx="6">
                  <c:v>0.33189999999999997</c:v>
                </c:pt>
                <c:pt idx="7">
                  <c:v>0.41570000000000001</c:v>
                </c:pt>
                <c:pt idx="8">
                  <c:v>0.41570000000000001</c:v>
                </c:pt>
                <c:pt idx="9">
                  <c:v>0.50129999999999997</c:v>
                </c:pt>
                <c:pt idx="10">
                  <c:v>0.50129999999999997</c:v>
                </c:pt>
                <c:pt idx="11">
                  <c:v>0.58499999999999996</c:v>
                </c:pt>
                <c:pt idx="12">
                  <c:v>0.58499999999999996</c:v>
                </c:pt>
                <c:pt idx="13">
                  <c:v>0.67030000000000001</c:v>
                </c:pt>
                <c:pt idx="14">
                  <c:v>0.67030000000000001</c:v>
                </c:pt>
                <c:pt idx="15">
                  <c:v>0.75419999999999998</c:v>
                </c:pt>
                <c:pt idx="16">
                  <c:v>0.75419999999999998</c:v>
                </c:pt>
                <c:pt idx="17">
                  <c:v>0.83819999999999995</c:v>
                </c:pt>
                <c:pt idx="18">
                  <c:v>0.83819999999999995</c:v>
                </c:pt>
                <c:pt idx="19">
                  <c:v>0.92320000000000002</c:v>
                </c:pt>
                <c:pt idx="20">
                  <c:v>0.92320000000000002</c:v>
                </c:pt>
                <c:pt idx="21">
                  <c:v>1.0081</c:v>
                </c:pt>
                <c:pt idx="22">
                  <c:v>1.0081</c:v>
                </c:pt>
                <c:pt idx="23">
                  <c:v>1.0920000000000001</c:v>
                </c:pt>
                <c:pt idx="24">
                  <c:v>1.0920000000000001</c:v>
                </c:pt>
                <c:pt idx="25">
                  <c:v>1.1758999999999999</c:v>
                </c:pt>
                <c:pt idx="26">
                  <c:v>1.1758999999999999</c:v>
                </c:pt>
                <c:pt idx="27">
                  <c:v>1.2613000000000001</c:v>
                </c:pt>
                <c:pt idx="28">
                  <c:v>1.2613000000000001</c:v>
                </c:pt>
                <c:pt idx="29">
                  <c:v>1.3448</c:v>
                </c:pt>
                <c:pt idx="30">
                  <c:v>1.3448</c:v>
                </c:pt>
                <c:pt idx="31">
                  <c:v>1.4292</c:v>
                </c:pt>
                <c:pt idx="32">
                  <c:v>1.4292</c:v>
                </c:pt>
                <c:pt idx="33">
                  <c:v>1.482</c:v>
                </c:pt>
                <c:pt idx="34">
                  <c:v>1.482</c:v>
                </c:pt>
                <c:pt idx="35">
                  <c:v>1.5161</c:v>
                </c:pt>
                <c:pt idx="36">
                  <c:v>1.5161</c:v>
                </c:pt>
                <c:pt idx="37">
                  <c:v>1.5490999999999999</c:v>
                </c:pt>
                <c:pt idx="38">
                  <c:v>1.5490999999999999</c:v>
                </c:pt>
                <c:pt idx="39">
                  <c:v>1.5824</c:v>
                </c:pt>
                <c:pt idx="40">
                  <c:v>1.5824</c:v>
                </c:pt>
                <c:pt idx="41">
                  <c:v>1.6002000000000001</c:v>
                </c:pt>
              </c:numCache>
            </c:numRef>
          </c:xVal>
          <c:yVal>
            <c:numRef>
              <c:f>EXI_beam_diff!$F$4:$F$100</c:f>
              <c:numCache>
                <c:formatCode>0.00000</c:formatCode>
                <c:ptCount val="97"/>
                <c:pt idx="0">
                  <c:v>0</c:v>
                </c:pt>
                <c:pt idx="1">
                  <c:v>0</c:v>
                </c:pt>
                <c:pt idx="2">
                  <c:v>3.2252276214677786E-2</c:v>
                </c:pt>
                <c:pt idx="3">
                  <c:v>1.3771050446651601E-2</c:v>
                </c:pt>
                <c:pt idx="4">
                  <c:v>1.3771050446651601E-2</c:v>
                </c:pt>
                <c:pt idx="5">
                  <c:v>-1.3639540604117521E-3</c:v>
                </c:pt>
                <c:pt idx="6">
                  <c:v>-1.3639540604117521E-3</c:v>
                </c:pt>
                <c:pt idx="7">
                  <c:v>4.7520494648070908E-3</c:v>
                </c:pt>
                <c:pt idx="8">
                  <c:v>4.7520494648070908E-3</c:v>
                </c:pt>
                <c:pt idx="9">
                  <c:v>1.1459493261649972E-2</c:v>
                </c:pt>
                <c:pt idx="10">
                  <c:v>1.1459493261649972E-2</c:v>
                </c:pt>
                <c:pt idx="11">
                  <c:v>1.6571721769626367E-2</c:v>
                </c:pt>
                <c:pt idx="12">
                  <c:v>1.6571721769626367E-2</c:v>
                </c:pt>
                <c:pt idx="13">
                  <c:v>4.2622114543198423E-3</c:v>
                </c:pt>
                <c:pt idx="14">
                  <c:v>4.2622114543198423E-3</c:v>
                </c:pt>
                <c:pt idx="15">
                  <c:v>-1.2148883248137374E-3</c:v>
                </c:pt>
                <c:pt idx="16">
                  <c:v>-1.2148883248137374E-3</c:v>
                </c:pt>
                <c:pt idx="17">
                  <c:v>-1.3621614988820517E-3</c:v>
                </c:pt>
                <c:pt idx="18">
                  <c:v>-1.3621614988820517E-3</c:v>
                </c:pt>
                <c:pt idx="19">
                  <c:v>-1.7799068739209035E-4</c:v>
                </c:pt>
                <c:pt idx="20">
                  <c:v>-1.7799068739209035E-4</c:v>
                </c:pt>
                <c:pt idx="21">
                  <c:v>-4.4376929496324066E-3</c:v>
                </c:pt>
                <c:pt idx="22">
                  <c:v>-4.4376929496324066E-3</c:v>
                </c:pt>
                <c:pt idx="23">
                  <c:v>-6.4760649867955421E-3</c:v>
                </c:pt>
                <c:pt idx="24">
                  <c:v>-6.4760649867955421E-3</c:v>
                </c:pt>
                <c:pt idx="25">
                  <c:v>1.7734140435041244E-5</c:v>
                </c:pt>
                <c:pt idx="26">
                  <c:v>1.7734140435041244E-5</c:v>
                </c:pt>
                <c:pt idx="27">
                  <c:v>-2.4982796898985649E-3</c:v>
                </c:pt>
                <c:pt idx="28">
                  <c:v>-2.4982796898985649E-3</c:v>
                </c:pt>
                <c:pt idx="29">
                  <c:v>-8.1200455650608343E-3</c:v>
                </c:pt>
                <c:pt idx="30">
                  <c:v>-8.1200455650608343E-3</c:v>
                </c:pt>
                <c:pt idx="31">
                  <c:v>-4.533017083740278E-3</c:v>
                </c:pt>
                <c:pt idx="32">
                  <c:v>-4.533017083740278E-3</c:v>
                </c:pt>
                <c:pt idx="33">
                  <c:v>-1.7425580650707218E-3</c:v>
                </c:pt>
                <c:pt idx="34">
                  <c:v>-1.7425580650707218E-3</c:v>
                </c:pt>
                <c:pt idx="35">
                  <c:v>3.9091937915035103E-3</c:v>
                </c:pt>
                <c:pt idx="36">
                  <c:v>3.9091937915035103E-3</c:v>
                </c:pt>
                <c:pt idx="37">
                  <c:v>6.554835312507193E-3</c:v>
                </c:pt>
                <c:pt idx="38">
                  <c:v>6.554835312507193E-3</c:v>
                </c:pt>
                <c:pt idx="39">
                  <c:v>9.2245281200654689E-3</c:v>
                </c:pt>
                <c:pt idx="40">
                  <c:v>9.2245281200654689E-3</c:v>
                </c:pt>
                <c:pt idx="41">
                  <c:v>1.2043504478451058E-2</c:v>
                </c:pt>
              </c:numCache>
            </c:numRef>
          </c:yVal>
          <c:smooth val="0"/>
          <c:extLst>
            <c:ext xmlns:c16="http://schemas.microsoft.com/office/drawing/2014/chart" uri="{C3380CC4-5D6E-409C-BE32-E72D297353CC}">
              <c16:uniqueId val="{00000000-74DE-4289-8D77-702B706F3398}"/>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EXI_beam_diff!$AJ$4:$AJ$201</c:f>
              <c:numCache>
                <c:formatCode>General</c:formatCode>
                <c:ptCount val="198"/>
                <c:pt idx="0">
                  <c:v>0</c:v>
                </c:pt>
                <c:pt idx="1">
                  <c:v>0.14729999999999999</c:v>
                </c:pt>
                <c:pt idx="2">
                  <c:v>0.14729999999999999</c:v>
                </c:pt>
                <c:pt idx="3">
                  <c:v>0.247</c:v>
                </c:pt>
                <c:pt idx="4">
                  <c:v>0.247</c:v>
                </c:pt>
                <c:pt idx="5">
                  <c:v>0.33189999999999997</c:v>
                </c:pt>
                <c:pt idx="6">
                  <c:v>0.33189999999999997</c:v>
                </c:pt>
                <c:pt idx="7">
                  <c:v>0.41570000000000001</c:v>
                </c:pt>
                <c:pt idx="8">
                  <c:v>0.41570000000000001</c:v>
                </c:pt>
                <c:pt idx="9">
                  <c:v>0.50129999999999997</c:v>
                </c:pt>
                <c:pt idx="10">
                  <c:v>0.50129999999999997</c:v>
                </c:pt>
                <c:pt idx="11">
                  <c:v>0.58499999999999996</c:v>
                </c:pt>
                <c:pt idx="12">
                  <c:v>0.58499999999999996</c:v>
                </c:pt>
                <c:pt idx="13">
                  <c:v>0.67030000000000001</c:v>
                </c:pt>
                <c:pt idx="14">
                  <c:v>0.67030000000000001</c:v>
                </c:pt>
                <c:pt idx="15">
                  <c:v>0.75419999999999998</c:v>
                </c:pt>
                <c:pt idx="16">
                  <c:v>0.75419999999999998</c:v>
                </c:pt>
                <c:pt idx="17">
                  <c:v>0.83819999999999995</c:v>
                </c:pt>
                <c:pt idx="18">
                  <c:v>0.83819999999999995</c:v>
                </c:pt>
                <c:pt idx="19">
                  <c:v>0.92320000000000002</c:v>
                </c:pt>
                <c:pt idx="20">
                  <c:v>0.92320000000000002</c:v>
                </c:pt>
                <c:pt idx="21">
                  <c:v>1.0081</c:v>
                </c:pt>
                <c:pt idx="22">
                  <c:v>1.0081</c:v>
                </c:pt>
                <c:pt idx="23">
                  <c:v>1.0920000000000001</c:v>
                </c:pt>
                <c:pt idx="24">
                  <c:v>1.0920000000000001</c:v>
                </c:pt>
                <c:pt idx="25">
                  <c:v>1.1758999999999999</c:v>
                </c:pt>
                <c:pt idx="26">
                  <c:v>1.1758999999999999</c:v>
                </c:pt>
                <c:pt idx="27">
                  <c:v>1.2613000000000001</c:v>
                </c:pt>
                <c:pt idx="28">
                  <c:v>1.2613000000000001</c:v>
                </c:pt>
                <c:pt idx="29">
                  <c:v>1.3448</c:v>
                </c:pt>
                <c:pt idx="30">
                  <c:v>1.3448</c:v>
                </c:pt>
                <c:pt idx="31">
                  <c:v>1.4292</c:v>
                </c:pt>
                <c:pt idx="32">
                  <c:v>1.4292</c:v>
                </c:pt>
                <c:pt idx="33">
                  <c:v>1.482</c:v>
                </c:pt>
                <c:pt idx="34">
                  <c:v>1.482</c:v>
                </c:pt>
                <c:pt idx="35">
                  <c:v>1.5161</c:v>
                </c:pt>
                <c:pt idx="36">
                  <c:v>1.5161</c:v>
                </c:pt>
                <c:pt idx="37">
                  <c:v>1.5490999999999999</c:v>
                </c:pt>
                <c:pt idx="38">
                  <c:v>1.5490999999999999</c:v>
                </c:pt>
                <c:pt idx="39">
                  <c:v>1.5824</c:v>
                </c:pt>
                <c:pt idx="40">
                  <c:v>1.5824</c:v>
                </c:pt>
                <c:pt idx="41">
                  <c:v>1.6002000000000001</c:v>
                </c:pt>
              </c:numCache>
            </c:numRef>
          </c:xVal>
          <c:yVal>
            <c:numRef>
              <c:f>EXI_beam_diff!$AN$4:$AN$201</c:f>
              <c:numCache>
                <c:formatCode>General</c:formatCode>
                <c:ptCount val="198"/>
                <c:pt idx="0" formatCode="0.00E+00">
                  <c:v>0</c:v>
                </c:pt>
                <c:pt idx="1">
                  <c:v>0</c:v>
                </c:pt>
                <c:pt idx="2" formatCode="0.00E+00">
                  <c:v>3.2071000000000002E-2</c:v>
                </c:pt>
                <c:pt idx="3">
                  <c:v>1.3828E-2</c:v>
                </c:pt>
                <c:pt idx="4" formatCode="0.00E+00">
                  <c:v>1.3828E-2</c:v>
                </c:pt>
                <c:pt idx="5">
                  <c:v>-1.0269999999999999E-3</c:v>
                </c:pt>
                <c:pt idx="6" formatCode="0.00E+00">
                  <c:v>-1.0269999999999999E-3</c:v>
                </c:pt>
                <c:pt idx="7">
                  <c:v>5.0559999999999997E-3</c:v>
                </c:pt>
                <c:pt idx="8" formatCode="0.00E+00">
                  <c:v>5.0559999999999997E-3</c:v>
                </c:pt>
                <c:pt idx="9">
                  <c:v>1.1727E-2</c:v>
                </c:pt>
                <c:pt idx="10" formatCode="0.00E+00">
                  <c:v>1.1727E-2</c:v>
                </c:pt>
                <c:pt idx="11">
                  <c:v>1.6927999999999999E-2</c:v>
                </c:pt>
                <c:pt idx="12" formatCode="0.00E+00">
                  <c:v>1.6927999999999999E-2</c:v>
                </c:pt>
                <c:pt idx="13">
                  <c:v>4.5240000000000002E-3</c:v>
                </c:pt>
                <c:pt idx="14" formatCode="0.00E+00">
                  <c:v>4.5240000000000002E-3</c:v>
                </c:pt>
                <c:pt idx="15">
                  <c:v>-1.0430000000000001E-3</c:v>
                </c:pt>
                <c:pt idx="16" formatCode="0.00E+00">
                  <c:v>-1.0430000000000001E-3</c:v>
                </c:pt>
                <c:pt idx="17">
                  <c:v>-1.214E-3</c:v>
                </c:pt>
                <c:pt idx="18" formatCode="0.00E+00">
                  <c:v>-1.214E-3</c:v>
                </c:pt>
                <c:pt idx="19">
                  <c:v>-6.0999999999999999E-5</c:v>
                </c:pt>
                <c:pt idx="20" formatCode="0.00E+00">
                  <c:v>-6.0999999999999999E-5</c:v>
                </c:pt>
                <c:pt idx="21">
                  <c:v>-4.3660000000000001E-3</c:v>
                </c:pt>
                <c:pt idx="22" formatCode="0.00E+00">
                  <c:v>-4.3660000000000001E-3</c:v>
                </c:pt>
                <c:pt idx="23">
                  <c:v>-6.4419999999999998E-3</c:v>
                </c:pt>
                <c:pt idx="24" formatCode="0.00E+00">
                  <c:v>-6.4419999999999998E-3</c:v>
                </c:pt>
                <c:pt idx="25">
                  <c:v>2.3E-5</c:v>
                </c:pt>
                <c:pt idx="26" formatCode="0.00E+00">
                  <c:v>2.3E-5</c:v>
                </c:pt>
                <c:pt idx="27">
                  <c:v>-2.5309999999999998E-3</c:v>
                </c:pt>
                <c:pt idx="28" formatCode="0.00E+00">
                  <c:v>-2.5309999999999998E-3</c:v>
                </c:pt>
                <c:pt idx="29">
                  <c:v>-8.1539999999999998E-3</c:v>
                </c:pt>
                <c:pt idx="30" formatCode="0.00E+00">
                  <c:v>-8.1539999999999998E-3</c:v>
                </c:pt>
                <c:pt idx="31">
                  <c:v>-4.3059999999999999E-3</c:v>
                </c:pt>
                <c:pt idx="32" formatCode="0.00E+00">
                  <c:v>-4.3059999999999999E-3</c:v>
                </c:pt>
                <c:pt idx="33">
                  <c:v>-1.789E-3</c:v>
                </c:pt>
                <c:pt idx="34" formatCode="0.00E+00">
                  <c:v>-1.789E-3</c:v>
                </c:pt>
                <c:pt idx="35">
                  <c:v>3.8579999999999999E-3</c:v>
                </c:pt>
                <c:pt idx="36" formatCode="0.00E+00">
                  <c:v>3.8579999999999999E-3</c:v>
                </c:pt>
                <c:pt idx="37">
                  <c:v>6.522E-3</c:v>
                </c:pt>
                <c:pt idx="38" formatCode="0.00E+00">
                  <c:v>6.522E-3</c:v>
                </c:pt>
                <c:pt idx="39">
                  <c:v>9.2029999999999994E-3</c:v>
                </c:pt>
                <c:pt idx="40" formatCode="0.00E+00">
                  <c:v>9.2029999999999994E-3</c:v>
                </c:pt>
                <c:pt idx="41">
                  <c:v>1.3975E-2</c:v>
                </c:pt>
              </c:numCache>
            </c:numRef>
          </c:yVal>
          <c:smooth val="0"/>
          <c:extLst>
            <c:ext xmlns:c16="http://schemas.microsoft.com/office/drawing/2014/chart" uri="{C3380CC4-5D6E-409C-BE32-E72D297353CC}">
              <c16:uniqueId val="{00000001-74DE-4289-8D77-702B706F3398}"/>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z_cg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EXI_beam_diff!$B$4:$B$201</c:f>
              <c:numCache>
                <c:formatCode>0.00000</c:formatCode>
                <c:ptCount val="198"/>
                <c:pt idx="0">
                  <c:v>0</c:v>
                </c:pt>
                <c:pt idx="1">
                  <c:v>0.14729999999999999</c:v>
                </c:pt>
                <c:pt idx="2">
                  <c:v>0.14729999999999999</c:v>
                </c:pt>
                <c:pt idx="3">
                  <c:v>0.247</c:v>
                </c:pt>
                <c:pt idx="4">
                  <c:v>0.247</c:v>
                </c:pt>
                <c:pt idx="5">
                  <c:v>0.33189999999999997</c:v>
                </c:pt>
                <c:pt idx="6">
                  <c:v>0.33189999999999997</c:v>
                </c:pt>
                <c:pt idx="7">
                  <c:v>0.41570000000000001</c:v>
                </c:pt>
                <c:pt idx="8">
                  <c:v>0.41570000000000001</c:v>
                </c:pt>
                <c:pt idx="9">
                  <c:v>0.50129999999999997</c:v>
                </c:pt>
                <c:pt idx="10">
                  <c:v>0.50129999999999997</c:v>
                </c:pt>
                <c:pt idx="11">
                  <c:v>0.58499999999999996</c:v>
                </c:pt>
                <c:pt idx="12">
                  <c:v>0.58499999999999996</c:v>
                </c:pt>
                <c:pt idx="13">
                  <c:v>0.67030000000000001</c:v>
                </c:pt>
                <c:pt idx="14">
                  <c:v>0.67030000000000001</c:v>
                </c:pt>
                <c:pt idx="15">
                  <c:v>0.75419999999999998</c:v>
                </c:pt>
                <c:pt idx="16">
                  <c:v>0.75419999999999998</c:v>
                </c:pt>
                <c:pt idx="17">
                  <c:v>0.83819999999999995</c:v>
                </c:pt>
                <c:pt idx="18">
                  <c:v>0.83819999999999995</c:v>
                </c:pt>
                <c:pt idx="19">
                  <c:v>0.92320000000000002</c:v>
                </c:pt>
                <c:pt idx="20">
                  <c:v>0.92320000000000002</c:v>
                </c:pt>
                <c:pt idx="21">
                  <c:v>1.0081</c:v>
                </c:pt>
                <c:pt idx="22">
                  <c:v>1.0081</c:v>
                </c:pt>
                <c:pt idx="23">
                  <c:v>1.0920000000000001</c:v>
                </c:pt>
                <c:pt idx="24">
                  <c:v>1.0920000000000001</c:v>
                </c:pt>
                <c:pt idx="25">
                  <c:v>1.1758999999999999</c:v>
                </c:pt>
                <c:pt idx="26">
                  <c:v>1.1758999999999999</c:v>
                </c:pt>
                <c:pt idx="27">
                  <c:v>1.2613000000000001</c:v>
                </c:pt>
                <c:pt idx="28">
                  <c:v>1.2613000000000001</c:v>
                </c:pt>
                <c:pt idx="29">
                  <c:v>1.3448</c:v>
                </c:pt>
                <c:pt idx="30">
                  <c:v>1.3448</c:v>
                </c:pt>
                <c:pt idx="31">
                  <c:v>1.4292</c:v>
                </c:pt>
                <c:pt idx="32">
                  <c:v>1.4292</c:v>
                </c:pt>
                <c:pt idx="33">
                  <c:v>1.482</c:v>
                </c:pt>
                <c:pt idx="34">
                  <c:v>1.482</c:v>
                </c:pt>
                <c:pt idx="35">
                  <c:v>1.5161</c:v>
                </c:pt>
                <c:pt idx="36">
                  <c:v>1.5161</c:v>
                </c:pt>
                <c:pt idx="37">
                  <c:v>1.5490999999999999</c:v>
                </c:pt>
                <c:pt idx="38">
                  <c:v>1.5490999999999999</c:v>
                </c:pt>
                <c:pt idx="39">
                  <c:v>1.5824</c:v>
                </c:pt>
                <c:pt idx="40">
                  <c:v>1.5824</c:v>
                </c:pt>
                <c:pt idx="41">
                  <c:v>1.6002000000000001</c:v>
                </c:pt>
              </c:numCache>
            </c:numRef>
          </c:xVal>
          <c:yVal>
            <c:numRef>
              <c:f>EXI_beam_diff!$G$4:$G$201</c:f>
              <c:numCache>
                <c:formatCode>0.00000</c:formatCode>
                <c:ptCount val="198"/>
                <c:pt idx="0">
                  <c:v>0</c:v>
                </c:pt>
                <c:pt idx="1">
                  <c:v>0</c:v>
                </c:pt>
                <c:pt idx="2">
                  <c:v>3.9547670556938658E-3</c:v>
                </c:pt>
                <c:pt idx="3">
                  <c:v>2.0958298598977559E-3</c:v>
                </c:pt>
                <c:pt idx="4">
                  <c:v>2.0958298598977559E-3</c:v>
                </c:pt>
                <c:pt idx="5">
                  <c:v>1.215442594403445E-3</c:v>
                </c:pt>
                <c:pt idx="6">
                  <c:v>1.215442594403445E-3</c:v>
                </c:pt>
                <c:pt idx="7">
                  <c:v>1.8220516536187428E-3</c:v>
                </c:pt>
                <c:pt idx="8">
                  <c:v>1.8220516536187428E-3</c:v>
                </c:pt>
                <c:pt idx="9">
                  <c:v>2.434922798066598E-3</c:v>
                </c:pt>
                <c:pt idx="10">
                  <c:v>2.434922798066598E-3</c:v>
                </c:pt>
                <c:pt idx="11">
                  <c:v>3.5126711700243524E-3</c:v>
                </c:pt>
                <c:pt idx="12">
                  <c:v>3.5126711700243524E-3</c:v>
                </c:pt>
                <c:pt idx="13">
                  <c:v>2.1020960396003724E-3</c:v>
                </c:pt>
                <c:pt idx="14">
                  <c:v>2.1020960396003724E-3</c:v>
                </c:pt>
                <c:pt idx="15">
                  <c:v>1.3253782627297428E-3</c:v>
                </c:pt>
                <c:pt idx="16">
                  <c:v>1.3253782627297428E-3</c:v>
                </c:pt>
                <c:pt idx="17">
                  <c:v>1.4388538960367063E-3</c:v>
                </c:pt>
                <c:pt idx="18">
                  <c:v>1.4388538960367063E-3</c:v>
                </c:pt>
                <c:pt idx="19">
                  <c:v>1.5976642408459317E-3</c:v>
                </c:pt>
                <c:pt idx="20">
                  <c:v>1.5976642408459317E-3</c:v>
                </c:pt>
                <c:pt idx="21">
                  <c:v>1.2473332488371783E-3</c:v>
                </c:pt>
                <c:pt idx="22">
                  <c:v>1.2473332488371783E-3</c:v>
                </c:pt>
                <c:pt idx="23">
                  <c:v>1.1280761177573531E-3</c:v>
                </c:pt>
                <c:pt idx="24">
                  <c:v>1.1280761177573531E-3</c:v>
                </c:pt>
                <c:pt idx="25">
                  <c:v>1.4190250946955398E-3</c:v>
                </c:pt>
                <c:pt idx="26">
                  <c:v>1.4190250946955398E-3</c:v>
                </c:pt>
                <c:pt idx="27">
                  <c:v>1.1743535146974311E-3</c:v>
                </c:pt>
                <c:pt idx="28">
                  <c:v>1.1743535146974311E-3</c:v>
                </c:pt>
                <c:pt idx="29">
                  <c:v>8.189242049122643E-4</c:v>
                </c:pt>
                <c:pt idx="30">
                  <c:v>8.189242049122643E-4</c:v>
                </c:pt>
                <c:pt idx="31">
                  <c:v>9.6952338028980694E-4</c:v>
                </c:pt>
                <c:pt idx="32">
                  <c:v>9.6952338028980694E-4</c:v>
                </c:pt>
                <c:pt idx="33">
                  <c:v>5.3503309420411724E-4</c:v>
                </c:pt>
                <c:pt idx="34">
                  <c:v>5.3503309420411724E-4</c:v>
                </c:pt>
                <c:pt idx="35">
                  <c:v>4.3307636108691017E-4</c:v>
                </c:pt>
                <c:pt idx="36">
                  <c:v>4.3307636108691017E-4</c:v>
                </c:pt>
                <c:pt idx="37">
                  <c:v>2.0857441642095089E-4</c:v>
                </c:pt>
                <c:pt idx="38">
                  <c:v>2.0857441642095089E-4</c:v>
                </c:pt>
                <c:pt idx="39">
                  <c:v>-1.7968455014700114E-5</c:v>
                </c:pt>
                <c:pt idx="40">
                  <c:v>-1.7968455014700114E-5</c:v>
                </c:pt>
                <c:pt idx="41">
                  <c:v>-3.0400539062530059E-4</c:v>
                </c:pt>
              </c:numCache>
            </c:numRef>
          </c:yVal>
          <c:smooth val="0"/>
          <c:extLst>
            <c:ext xmlns:c16="http://schemas.microsoft.com/office/drawing/2014/chart" uri="{C3380CC4-5D6E-409C-BE32-E72D297353CC}">
              <c16:uniqueId val="{00000000-0578-432A-A778-1EB9A9127AE3}"/>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EXI_beam_diff!$AJ$4:$AJ$201</c:f>
              <c:numCache>
                <c:formatCode>General</c:formatCode>
                <c:ptCount val="198"/>
                <c:pt idx="0">
                  <c:v>0</c:v>
                </c:pt>
                <c:pt idx="1">
                  <c:v>0.14729999999999999</c:v>
                </c:pt>
                <c:pt idx="2">
                  <c:v>0.14729999999999999</c:v>
                </c:pt>
                <c:pt idx="3">
                  <c:v>0.247</c:v>
                </c:pt>
                <c:pt idx="4">
                  <c:v>0.247</c:v>
                </c:pt>
                <c:pt idx="5">
                  <c:v>0.33189999999999997</c:v>
                </c:pt>
                <c:pt idx="6">
                  <c:v>0.33189999999999997</c:v>
                </c:pt>
                <c:pt idx="7">
                  <c:v>0.41570000000000001</c:v>
                </c:pt>
                <c:pt idx="8">
                  <c:v>0.41570000000000001</c:v>
                </c:pt>
                <c:pt idx="9">
                  <c:v>0.50129999999999997</c:v>
                </c:pt>
                <c:pt idx="10">
                  <c:v>0.50129999999999997</c:v>
                </c:pt>
                <c:pt idx="11">
                  <c:v>0.58499999999999996</c:v>
                </c:pt>
                <c:pt idx="12">
                  <c:v>0.58499999999999996</c:v>
                </c:pt>
                <c:pt idx="13">
                  <c:v>0.67030000000000001</c:v>
                </c:pt>
                <c:pt idx="14">
                  <c:v>0.67030000000000001</c:v>
                </c:pt>
                <c:pt idx="15">
                  <c:v>0.75419999999999998</c:v>
                </c:pt>
                <c:pt idx="16">
                  <c:v>0.75419999999999998</c:v>
                </c:pt>
                <c:pt idx="17">
                  <c:v>0.83819999999999995</c:v>
                </c:pt>
                <c:pt idx="18">
                  <c:v>0.83819999999999995</c:v>
                </c:pt>
                <c:pt idx="19">
                  <c:v>0.92320000000000002</c:v>
                </c:pt>
                <c:pt idx="20">
                  <c:v>0.92320000000000002</c:v>
                </c:pt>
                <c:pt idx="21">
                  <c:v>1.0081</c:v>
                </c:pt>
                <c:pt idx="22">
                  <c:v>1.0081</c:v>
                </c:pt>
                <c:pt idx="23">
                  <c:v>1.0920000000000001</c:v>
                </c:pt>
                <c:pt idx="24">
                  <c:v>1.0920000000000001</c:v>
                </c:pt>
                <c:pt idx="25">
                  <c:v>1.1758999999999999</c:v>
                </c:pt>
                <c:pt idx="26">
                  <c:v>1.1758999999999999</c:v>
                </c:pt>
                <c:pt idx="27">
                  <c:v>1.2613000000000001</c:v>
                </c:pt>
                <c:pt idx="28">
                  <c:v>1.2613000000000001</c:v>
                </c:pt>
                <c:pt idx="29">
                  <c:v>1.3448</c:v>
                </c:pt>
                <c:pt idx="30">
                  <c:v>1.3448</c:v>
                </c:pt>
                <c:pt idx="31">
                  <c:v>1.4292</c:v>
                </c:pt>
                <c:pt idx="32">
                  <c:v>1.4292</c:v>
                </c:pt>
                <c:pt idx="33">
                  <c:v>1.482</c:v>
                </c:pt>
                <c:pt idx="34">
                  <c:v>1.482</c:v>
                </c:pt>
                <c:pt idx="35">
                  <c:v>1.5161</c:v>
                </c:pt>
                <c:pt idx="36">
                  <c:v>1.5161</c:v>
                </c:pt>
                <c:pt idx="37">
                  <c:v>1.5490999999999999</c:v>
                </c:pt>
                <c:pt idx="38">
                  <c:v>1.5490999999999999</c:v>
                </c:pt>
                <c:pt idx="39">
                  <c:v>1.5824</c:v>
                </c:pt>
                <c:pt idx="40">
                  <c:v>1.5824</c:v>
                </c:pt>
                <c:pt idx="41">
                  <c:v>1.6002000000000001</c:v>
                </c:pt>
              </c:numCache>
            </c:numRef>
          </c:xVal>
          <c:yVal>
            <c:numRef>
              <c:f>EXI_beam_diff!$AO$4:$AO$201</c:f>
              <c:numCache>
                <c:formatCode>0.00E+00</c:formatCode>
                <c:ptCount val="198"/>
                <c:pt idx="0">
                  <c:v>0</c:v>
                </c:pt>
                <c:pt idx="1">
                  <c:v>0</c:v>
                </c:pt>
                <c:pt idx="2">
                  <c:v>-5.228E-3</c:v>
                </c:pt>
                <c:pt idx="3">
                  <c:v>-1.738E-3</c:v>
                </c:pt>
                <c:pt idx="4">
                  <c:v>-1.738E-3</c:v>
                </c:pt>
                <c:pt idx="5">
                  <c:v>1.5100000000000001E-3</c:v>
                </c:pt>
                <c:pt idx="6">
                  <c:v>1.5100000000000001E-3</c:v>
                </c:pt>
                <c:pt idx="7">
                  <c:v>8.6799999999999996E-4</c:v>
                </c:pt>
                <c:pt idx="8">
                  <c:v>8.6799999999999996E-4</c:v>
                </c:pt>
                <c:pt idx="9">
                  <c:v>2.7099999999999997E-4</c:v>
                </c:pt>
                <c:pt idx="10">
                  <c:v>2.7099999999999997E-4</c:v>
                </c:pt>
                <c:pt idx="11">
                  <c:v>6.1300000000000005E-4</c:v>
                </c:pt>
                <c:pt idx="12">
                  <c:v>6.1300000000000005E-4</c:v>
                </c:pt>
                <c:pt idx="13">
                  <c:v>1.392E-3</c:v>
                </c:pt>
                <c:pt idx="14">
                  <c:v>1.392E-3</c:v>
                </c:pt>
                <c:pt idx="15">
                  <c:v>1.464E-3</c:v>
                </c:pt>
                <c:pt idx="16">
                  <c:v>1.464E-3</c:v>
                </c:pt>
                <c:pt idx="17">
                  <c:v>1.5659999999999999E-3</c:v>
                </c:pt>
                <c:pt idx="18">
                  <c:v>1.5659999999999999E-3</c:v>
                </c:pt>
                <c:pt idx="19">
                  <c:v>1.6069999999999999E-3</c:v>
                </c:pt>
                <c:pt idx="20">
                  <c:v>1.6069999999999999E-3</c:v>
                </c:pt>
                <c:pt idx="21">
                  <c:v>1.4760000000000001E-3</c:v>
                </c:pt>
                <c:pt idx="22">
                  <c:v>1.4760000000000001E-3</c:v>
                </c:pt>
                <c:pt idx="23">
                  <c:v>1.291E-3</c:v>
                </c:pt>
                <c:pt idx="24">
                  <c:v>1.291E-3</c:v>
                </c:pt>
                <c:pt idx="25">
                  <c:v>1.418E-3</c:v>
                </c:pt>
                <c:pt idx="26">
                  <c:v>1.418E-3</c:v>
                </c:pt>
                <c:pt idx="27">
                  <c:v>1.1019999999999999E-3</c:v>
                </c:pt>
                <c:pt idx="28">
                  <c:v>1.1019999999999999E-3</c:v>
                </c:pt>
                <c:pt idx="29">
                  <c:v>4.26E-4</c:v>
                </c:pt>
                <c:pt idx="30">
                  <c:v>4.26E-4</c:v>
                </c:pt>
                <c:pt idx="31">
                  <c:v>6.9200000000000002E-4</c:v>
                </c:pt>
                <c:pt idx="32">
                  <c:v>6.9200000000000002E-4</c:v>
                </c:pt>
                <c:pt idx="33">
                  <c:v>3.79E-4</c:v>
                </c:pt>
                <c:pt idx="34">
                  <c:v>3.79E-4</c:v>
                </c:pt>
                <c:pt idx="35">
                  <c:v>8.3500000000000002E-4</c:v>
                </c:pt>
                <c:pt idx="36">
                  <c:v>8.3500000000000002E-4</c:v>
                </c:pt>
                <c:pt idx="37">
                  <c:v>9.4200000000000002E-4</c:v>
                </c:pt>
                <c:pt idx="38">
                  <c:v>9.4200000000000002E-4</c:v>
                </c:pt>
                <c:pt idx="39">
                  <c:v>1.075E-3</c:v>
                </c:pt>
                <c:pt idx="40">
                  <c:v>1.075E-3</c:v>
                </c:pt>
                <c:pt idx="41">
                  <c:v>1.2800000000000001E-3</c:v>
                </c:pt>
              </c:numCache>
            </c:numRef>
          </c:yVal>
          <c:smooth val="0"/>
          <c:extLst>
            <c:ext xmlns:c16="http://schemas.microsoft.com/office/drawing/2014/chart" uri="{C3380CC4-5D6E-409C-BE32-E72D297353CC}">
              <c16:uniqueId val="{00000001-0578-432A-A778-1EB9A9127AE3}"/>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Eizz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EXI_beam_diff!$B$6:$B$201</c:f>
              <c:numCache>
                <c:formatCode>0.00000</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EXI_beam_diff!$O$6:$O$201</c:f>
              <c:numCache>
                <c:formatCode>0.00000E+00</c:formatCode>
                <c:ptCount val="196"/>
                <c:pt idx="0">
                  <c:v>19920.473850878807</c:v>
                </c:pt>
                <c:pt idx="1">
                  <c:v>15946.985960252125</c:v>
                </c:pt>
                <c:pt idx="2">
                  <c:v>15946.985960252125</c:v>
                </c:pt>
                <c:pt idx="3">
                  <c:v>11528.52796317464</c:v>
                </c:pt>
                <c:pt idx="4">
                  <c:v>11528.52796317464</c:v>
                </c:pt>
                <c:pt idx="5">
                  <c:v>11341.669342155874</c:v>
                </c:pt>
                <c:pt idx="6">
                  <c:v>11341.669342155874</c:v>
                </c:pt>
                <c:pt idx="7">
                  <c:v>11260.87879559773</c:v>
                </c:pt>
                <c:pt idx="8">
                  <c:v>11260.87879559773</c:v>
                </c:pt>
                <c:pt idx="9">
                  <c:v>11169.004590294024</c:v>
                </c:pt>
                <c:pt idx="10">
                  <c:v>11169.004590294024</c:v>
                </c:pt>
                <c:pt idx="11">
                  <c:v>11141.741157778619</c:v>
                </c:pt>
                <c:pt idx="12">
                  <c:v>11141.741157778619</c:v>
                </c:pt>
                <c:pt idx="13">
                  <c:v>10718.948737935931</c:v>
                </c:pt>
                <c:pt idx="14">
                  <c:v>10718.948737935931</c:v>
                </c:pt>
                <c:pt idx="15">
                  <c:v>9768.4683100218954</c:v>
                </c:pt>
                <c:pt idx="16">
                  <c:v>9768.4683100218954</c:v>
                </c:pt>
                <c:pt idx="17">
                  <c:v>8526.8551614660719</c:v>
                </c:pt>
                <c:pt idx="18">
                  <c:v>8526.8551614660719</c:v>
                </c:pt>
                <c:pt idx="19">
                  <c:v>8013.4642549805931</c:v>
                </c:pt>
                <c:pt idx="20">
                  <c:v>8013.4642549805931</c:v>
                </c:pt>
                <c:pt idx="21">
                  <c:v>7215.0433561677701</c:v>
                </c:pt>
                <c:pt idx="22">
                  <c:v>7215.0433561677701</c:v>
                </c:pt>
                <c:pt idx="23">
                  <c:v>7207.784537149897</c:v>
                </c:pt>
                <c:pt idx="24">
                  <c:v>7207.784537149897</c:v>
                </c:pt>
                <c:pt idx="25">
                  <c:v>6821.9127384754647</c:v>
                </c:pt>
                <c:pt idx="26">
                  <c:v>6821.9127384754647</c:v>
                </c:pt>
                <c:pt idx="27">
                  <c:v>6075.0994726281997</c:v>
                </c:pt>
                <c:pt idx="28">
                  <c:v>6075.0994726281997</c:v>
                </c:pt>
                <c:pt idx="29">
                  <c:v>6039.7366099443143</c:v>
                </c:pt>
                <c:pt idx="30">
                  <c:v>6039.7366099443143</c:v>
                </c:pt>
                <c:pt idx="31">
                  <c:v>6051.0083568361106</c:v>
                </c:pt>
                <c:pt idx="32">
                  <c:v>6051.0083568361106</c:v>
                </c:pt>
                <c:pt idx="33">
                  <c:v>5006.3962150544103</c:v>
                </c:pt>
                <c:pt idx="34">
                  <c:v>5006.3962150544103</c:v>
                </c:pt>
                <c:pt idx="35">
                  <c:v>3326.2989424445541</c:v>
                </c:pt>
                <c:pt idx="36">
                  <c:v>3326.2989424445541</c:v>
                </c:pt>
                <c:pt idx="37">
                  <c:v>1630.9280582655092</c:v>
                </c:pt>
                <c:pt idx="38">
                  <c:v>1630.9280582655092</c:v>
                </c:pt>
                <c:pt idx="39">
                  <c:v>1070.3243797483506</c:v>
                </c:pt>
              </c:numCache>
            </c:numRef>
          </c:yVal>
          <c:smooth val="0"/>
          <c:extLst>
            <c:ext xmlns:c16="http://schemas.microsoft.com/office/drawing/2014/chart" uri="{C3380CC4-5D6E-409C-BE32-E72D297353CC}">
              <c16:uniqueId val="{00000000-0D8E-429A-9B48-667CFEADFA46}"/>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EXI_beam_diff!$AJ$6:$AJ$201</c:f>
              <c:numCache>
                <c:formatCode>General</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EXI_beam_diff!$AW$6:$AW$201</c:f>
              <c:numCache>
                <c:formatCode>0.00E+00</c:formatCode>
                <c:ptCount val="196"/>
                <c:pt idx="0">
                  <c:v>19881.87</c:v>
                </c:pt>
                <c:pt idx="1">
                  <c:v>15936.02</c:v>
                </c:pt>
                <c:pt idx="2">
                  <c:v>15936.02</c:v>
                </c:pt>
                <c:pt idx="3">
                  <c:v>11587.29</c:v>
                </c:pt>
                <c:pt idx="4">
                  <c:v>11587.29</c:v>
                </c:pt>
                <c:pt idx="5">
                  <c:v>11384.16</c:v>
                </c:pt>
                <c:pt idx="6">
                  <c:v>11384.16</c:v>
                </c:pt>
                <c:pt idx="7">
                  <c:v>11285.69</c:v>
                </c:pt>
                <c:pt idx="8">
                  <c:v>11285.69</c:v>
                </c:pt>
                <c:pt idx="9">
                  <c:v>11213.87</c:v>
                </c:pt>
                <c:pt idx="10">
                  <c:v>11213.87</c:v>
                </c:pt>
                <c:pt idx="11">
                  <c:v>11182.11</c:v>
                </c:pt>
                <c:pt idx="12">
                  <c:v>11182.11</c:v>
                </c:pt>
                <c:pt idx="13">
                  <c:v>10745.03</c:v>
                </c:pt>
                <c:pt idx="14">
                  <c:v>10745.03</c:v>
                </c:pt>
                <c:pt idx="15">
                  <c:v>9748.3269999999993</c:v>
                </c:pt>
                <c:pt idx="16">
                  <c:v>9748.3269999999993</c:v>
                </c:pt>
                <c:pt idx="17">
                  <c:v>8538.0220000000008</c:v>
                </c:pt>
                <c:pt idx="18">
                  <c:v>8538.0220000000008</c:v>
                </c:pt>
                <c:pt idx="19">
                  <c:v>8017.1729999999998</c:v>
                </c:pt>
                <c:pt idx="20">
                  <c:v>8017.1729999999998</c:v>
                </c:pt>
                <c:pt idx="21">
                  <c:v>7217.2060000000001</c:v>
                </c:pt>
                <c:pt idx="22">
                  <c:v>7217.2060000000001</c:v>
                </c:pt>
                <c:pt idx="23">
                  <c:v>7207.9080000000004</c:v>
                </c:pt>
                <c:pt idx="24">
                  <c:v>7207.9080000000004</c:v>
                </c:pt>
                <c:pt idx="25">
                  <c:v>6822.558</c:v>
                </c:pt>
                <c:pt idx="26">
                  <c:v>6822.558</c:v>
                </c:pt>
                <c:pt idx="27">
                  <c:v>6073.6679999999997</c:v>
                </c:pt>
                <c:pt idx="28">
                  <c:v>6073.6679999999997</c:v>
                </c:pt>
                <c:pt idx="29">
                  <c:v>6038.232</c:v>
                </c:pt>
                <c:pt idx="30">
                  <c:v>6038.232</c:v>
                </c:pt>
                <c:pt idx="31">
                  <c:v>6046.1019999999999</c:v>
                </c:pt>
                <c:pt idx="32">
                  <c:v>6046.1019999999999</c:v>
                </c:pt>
                <c:pt idx="33">
                  <c:v>5017.3789999999999</c:v>
                </c:pt>
                <c:pt idx="34">
                  <c:v>5017.3789999999999</c:v>
                </c:pt>
                <c:pt idx="35">
                  <c:v>3340.9650000000001</c:v>
                </c:pt>
                <c:pt idx="36">
                  <c:v>3340.9650000000001</c:v>
                </c:pt>
                <c:pt idx="37">
                  <c:v>1631.37</c:v>
                </c:pt>
                <c:pt idx="38">
                  <c:v>1631.37</c:v>
                </c:pt>
                <c:pt idx="39">
                  <c:v>1231.56</c:v>
                </c:pt>
              </c:numCache>
            </c:numRef>
          </c:yVal>
          <c:smooth val="0"/>
          <c:extLst>
            <c:ext xmlns:c16="http://schemas.microsoft.com/office/drawing/2014/chart" uri="{C3380CC4-5D6E-409C-BE32-E72D297353CC}">
              <c16:uniqueId val="{00000001-0D8E-429A-9B48-667CFEADFA46}"/>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Eixz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EXI_beam_diff!$B$6:$B$201</c:f>
              <c:numCache>
                <c:formatCode>0.00000</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EXI_beam_diff!$P$6:$P$201</c:f>
              <c:numCache>
                <c:formatCode>0.0E+00</c:formatCode>
                <c:ptCount val="196"/>
                <c:pt idx="0">
                  <c:v>-2656.3595999346385</c:v>
                </c:pt>
                <c:pt idx="1">
                  <c:v>-2082.2898729734493</c:v>
                </c:pt>
                <c:pt idx="2">
                  <c:v>-2082.2898729734493</c:v>
                </c:pt>
                <c:pt idx="3">
                  <c:v>-1520.0870881093442</c:v>
                </c:pt>
                <c:pt idx="4">
                  <c:v>-1520.0870881093442</c:v>
                </c:pt>
                <c:pt idx="5">
                  <c:v>-1346.4804009598201</c:v>
                </c:pt>
                <c:pt idx="6">
                  <c:v>-1346.4804009598201</c:v>
                </c:pt>
                <c:pt idx="7">
                  <c:v>-1172.5321394988136</c:v>
                </c:pt>
                <c:pt idx="8">
                  <c:v>-1172.5321394988136</c:v>
                </c:pt>
                <c:pt idx="9">
                  <c:v>-1079.2602912215898</c:v>
                </c:pt>
                <c:pt idx="10">
                  <c:v>-1079.2602912215898</c:v>
                </c:pt>
                <c:pt idx="11">
                  <c:v>-975.4288508640318</c:v>
                </c:pt>
                <c:pt idx="12">
                  <c:v>-975.4288508640318</c:v>
                </c:pt>
                <c:pt idx="13">
                  <c:v>-794.46921319387002</c:v>
                </c:pt>
                <c:pt idx="14">
                  <c:v>-794.46921319387002</c:v>
                </c:pt>
                <c:pt idx="15">
                  <c:v>-538.02744464820273</c:v>
                </c:pt>
                <c:pt idx="16">
                  <c:v>-538.02744464820273</c:v>
                </c:pt>
                <c:pt idx="17">
                  <c:v>-222.5763746233481</c:v>
                </c:pt>
                <c:pt idx="18">
                  <c:v>-222.5763746233481</c:v>
                </c:pt>
                <c:pt idx="19">
                  <c:v>-65.455177019139143</c:v>
                </c:pt>
                <c:pt idx="20">
                  <c:v>-65.455177019139143</c:v>
                </c:pt>
                <c:pt idx="21">
                  <c:v>129.44784567403758</c:v>
                </c:pt>
                <c:pt idx="22">
                  <c:v>129.44784567403758</c:v>
                </c:pt>
                <c:pt idx="23">
                  <c:v>216.96048259824661</c:v>
                </c:pt>
                <c:pt idx="24">
                  <c:v>216.96048259824661</c:v>
                </c:pt>
                <c:pt idx="25">
                  <c:v>260.19373206026546</c:v>
                </c:pt>
                <c:pt idx="26">
                  <c:v>260.19373206026546</c:v>
                </c:pt>
                <c:pt idx="27">
                  <c:v>238.14380700878371</c:v>
                </c:pt>
                <c:pt idx="28">
                  <c:v>238.14380700878371</c:v>
                </c:pt>
                <c:pt idx="29">
                  <c:v>298.09670275147062</c:v>
                </c:pt>
                <c:pt idx="30">
                  <c:v>298.09670275147062</c:v>
                </c:pt>
                <c:pt idx="31">
                  <c:v>339.04075216725471</c:v>
                </c:pt>
                <c:pt idx="32">
                  <c:v>339.04075216725471</c:v>
                </c:pt>
                <c:pt idx="33">
                  <c:v>289.06158688730085</c:v>
                </c:pt>
                <c:pt idx="34">
                  <c:v>289.06158688730085</c:v>
                </c:pt>
                <c:pt idx="35">
                  <c:v>200.07923692342041</c:v>
                </c:pt>
                <c:pt idx="36">
                  <c:v>200.07923692342041</c:v>
                </c:pt>
                <c:pt idx="37">
                  <c:v>110.28795650532237</c:v>
                </c:pt>
                <c:pt idx="38">
                  <c:v>110.28795650532237</c:v>
                </c:pt>
                <c:pt idx="39">
                  <c:v>68.012002852374351</c:v>
                </c:pt>
              </c:numCache>
            </c:numRef>
          </c:yVal>
          <c:smooth val="0"/>
          <c:extLst>
            <c:ext xmlns:c16="http://schemas.microsoft.com/office/drawing/2014/chart" uri="{C3380CC4-5D6E-409C-BE32-E72D297353CC}">
              <c16:uniqueId val="{00000000-D5B1-44B3-90CA-FC2573695743}"/>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EXI_beam_diff!$AJ$6:$AJ$201</c:f>
              <c:numCache>
                <c:formatCode>General</c:formatCode>
                <c:ptCount val="196"/>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EXI_beam_diff!$AX$6:$AX$201</c:f>
              <c:numCache>
                <c:formatCode>0.00E+00</c:formatCode>
                <c:ptCount val="196"/>
                <c:pt idx="0">
                  <c:v>2788.895</c:v>
                </c:pt>
                <c:pt idx="1">
                  <c:v>2078.7979999999998</c:v>
                </c:pt>
                <c:pt idx="2">
                  <c:v>2078.7979999999998</c:v>
                </c:pt>
                <c:pt idx="3">
                  <c:v>1216.9839999999999</c:v>
                </c:pt>
                <c:pt idx="4">
                  <c:v>1216.9839999999999</c:v>
                </c:pt>
                <c:pt idx="5">
                  <c:v>1094.223</c:v>
                </c:pt>
                <c:pt idx="6">
                  <c:v>1094.223</c:v>
                </c:pt>
                <c:pt idx="7">
                  <c:v>990.28449999999998</c:v>
                </c:pt>
                <c:pt idx="8">
                  <c:v>990.28449999999998</c:v>
                </c:pt>
                <c:pt idx="9">
                  <c:v>784.81650000000002</c:v>
                </c:pt>
                <c:pt idx="10">
                  <c:v>784.81650000000002</c:v>
                </c:pt>
                <c:pt idx="11">
                  <c:v>643.30060000000003</c:v>
                </c:pt>
                <c:pt idx="12">
                  <c:v>643.30060000000003</c:v>
                </c:pt>
                <c:pt idx="13">
                  <c:v>518.60450000000003</c:v>
                </c:pt>
                <c:pt idx="14">
                  <c:v>518.60450000000003</c:v>
                </c:pt>
                <c:pt idx="15">
                  <c:v>347.07889999999998</c:v>
                </c:pt>
                <c:pt idx="16">
                  <c:v>347.07889999999998</c:v>
                </c:pt>
                <c:pt idx="17">
                  <c:v>172.94139999999999</c:v>
                </c:pt>
                <c:pt idx="18">
                  <c:v>172.94139999999999</c:v>
                </c:pt>
                <c:pt idx="19">
                  <c:v>66.886650000000003</c:v>
                </c:pt>
                <c:pt idx="20">
                  <c:v>66.886650000000003</c:v>
                </c:pt>
                <c:pt idx="21">
                  <c:v>-61.873649999999998</c:v>
                </c:pt>
                <c:pt idx="22">
                  <c:v>-61.873649999999998</c:v>
                </c:pt>
                <c:pt idx="23">
                  <c:v>-149.298</c:v>
                </c:pt>
                <c:pt idx="24">
                  <c:v>-149.298</c:v>
                </c:pt>
                <c:pt idx="25">
                  <c:v>-205.16329999999999</c:v>
                </c:pt>
                <c:pt idx="26">
                  <c:v>-205.16329999999999</c:v>
                </c:pt>
                <c:pt idx="27">
                  <c:v>-208.23140000000001</c:v>
                </c:pt>
                <c:pt idx="28">
                  <c:v>-208.23140000000001</c:v>
                </c:pt>
                <c:pt idx="29">
                  <c:v>-275.4846</c:v>
                </c:pt>
                <c:pt idx="30">
                  <c:v>-275.4846</c:v>
                </c:pt>
                <c:pt idx="31">
                  <c:v>-322.75439999999998</c:v>
                </c:pt>
                <c:pt idx="32">
                  <c:v>-322.75439999999998</c:v>
                </c:pt>
                <c:pt idx="33">
                  <c:v>-296.58449999999999</c:v>
                </c:pt>
                <c:pt idx="34">
                  <c:v>-296.58449999999999</c:v>
                </c:pt>
                <c:pt idx="35">
                  <c:v>-212.3493</c:v>
                </c:pt>
                <c:pt idx="36">
                  <c:v>-212.3493</c:v>
                </c:pt>
                <c:pt idx="37">
                  <c:v>-113.1828</c:v>
                </c:pt>
                <c:pt idx="38">
                  <c:v>-113.1828</c:v>
                </c:pt>
                <c:pt idx="39">
                  <c:v>-93.645399999999995</c:v>
                </c:pt>
              </c:numCache>
            </c:numRef>
          </c:yVal>
          <c:smooth val="0"/>
          <c:extLst>
            <c:ext xmlns:c16="http://schemas.microsoft.com/office/drawing/2014/chart" uri="{C3380CC4-5D6E-409C-BE32-E72D297353CC}">
              <c16:uniqueId val="{00000001-D5B1-44B3-90CA-FC2573695743}"/>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GzA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EXI_beam_diff!$B$1</c:f>
              <c:strCache>
                <c:ptCount val="1"/>
                <c:pt idx="0">
                  <c:v>CORAL</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EXI_beam_diff!$B$6:$B$200</c:f>
              <c:numCache>
                <c:formatCode>0.00000</c:formatCode>
                <c:ptCount val="195"/>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EXI_beam_diff!$S$6:$S$200</c:f>
              <c:numCache>
                <c:formatCode>0.0000E+00</c:formatCode>
                <c:ptCount val="195"/>
                <c:pt idx="0">
                  <c:v>1614990.3360170943</c:v>
                </c:pt>
                <c:pt idx="1">
                  <c:v>1396791.9954196201</c:v>
                </c:pt>
                <c:pt idx="2">
                  <c:v>1396791.9954196201</c:v>
                </c:pt>
                <c:pt idx="3">
                  <c:v>1056638.1017075372</c:v>
                </c:pt>
                <c:pt idx="4">
                  <c:v>1056638.1017075372</c:v>
                </c:pt>
                <c:pt idx="5">
                  <c:v>973677.89181847253</c:v>
                </c:pt>
                <c:pt idx="6">
                  <c:v>973677.89181847253</c:v>
                </c:pt>
                <c:pt idx="7">
                  <c:v>899383.03040394373</c:v>
                </c:pt>
                <c:pt idx="8">
                  <c:v>899383.03040394373</c:v>
                </c:pt>
                <c:pt idx="9">
                  <c:v>837286.65259652107</c:v>
                </c:pt>
                <c:pt idx="10">
                  <c:v>837286.65259652107</c:v>
                </c:pt>
                <c:pt idx="11">
                  <c:v>946058.51916683861</c:v>
                </c:pt>
                <c:pt idx="12">
                  <c:v>946058.51916683861</c:v>
                </c:pt>
                <c:pt idx="13">
                  <c:v>986337.73716530961</c:v>
                </c:pt>
                <c:pt idx="14">
                  <c:v>986337.73716530961</c:v>
                </c:pt>
                <c:pt idx="15">
                  <c:v>864569.38225356396</c:v>
                </c:pt>
                <c:pt idx="16">
                  <c:v>864569.38225356396</c:v>
                </c:pt>
                <c:pt idx="17">
                  <c:v>606821.86678250995</c:v>
                </c:pt>
                <c:pt idx="18">
                  <c:v>606821.86678250995</c:v>
                </c:pt>
                <c:pt idx="19">
                  <c:v>531596.47234446229</c:v>
                </c:pt>
                <c:pt idx="20">
                  <c:v>531596.47234446229</c:v>
                </c:pt>
                <c:pt idx="21">
                  <c:v>385090.34457640187</c:v>
                </c:pt>
                <c:pt idx="22">
                  <c:v>385090.34457640187</c:v>
                </c:pt>
                <c:pt idx="23">
                  <c:v>377428.97496559744</c:v>
                </c:pt>
                <c:pt idx="24">
                  <c:v>377428.97496559744</c:v>
                </c:pt>
                <c:pt idx="25">
                  <c:v>290739.89902961976</c:v>
                </c:pt>
                <c:pt idx="26">
                  <c:v>290739.89902961976</c:v>
                </c:pt>
                <c:pt idx="27">
                  <c:v>159192.64426205563</c:v>
                </c:pt>
                <c:pt idx="28">
                  <c:v>159192.64426205563</c:v>
                </c:pt>
                <c:pt idx="29">
                  <c:v>150526.8317893419</c:v>
                </c:pt>
                <c:pt idx="30">
                  <c:v>150526.8317893419</c:v>
                </c:pt>
                <c:pt idx="31">
                  <c:v>152031.77071000138</c:v>
                </c:pt>
                <c:pt idx="32">
                  <c:v>152031.77071000138</c:v>
                </c:pt>
                <c:pt idx="33">
                  <c:v>119821.31247717874</c:v>
                </c:pt>
                <c:pt idx="34">
                  <c:v>119821.31247717874</c:v>
                </c:pt>
                <c:pt idx="35">
                  <c:v>78414.939388306782</c:v>
                </c:pt>
                <c:pt idx="36">
                  <c:v>78414.939388306782</c:v>
                </c:pt>
                <c:pt idx="37">
                  <c:v>36632.144725899387</c:v>
                </c:pt>
                <c:pt idx="38">
                  <c:v>36632.144725899387</c:v>
                </c:pt>
                <c:pt idx="39">
                  <c:v>31567.074693985545</c:v>
                </c:pt>
              </c:numCache>
            </c:numRef>
          </c:yVal>
          <c:smooth val="0"/>
          <c:extLst>
            <c:ext xmlns:c16="http://schemas.microsoft.com/office/drawing/2014/chart" uri="{C3380CC4-5D6E-409C-BE32-E72D297353CC}">
              <c16:uniqueId val="{00000000-1EFD-4649-A0F6-C3E8B41FE934}"/>
            </c:ext>
          </c:extLst>
        </c:ser>
        <c:ser>
          <c:idx val="1"/>
          <c:order val="1"/>
          <c:tx>
            <c:strRef>
              <c:f>EXI_beam_diff!$AJ$1</c:f>
              <c:strCache>
                <c:ptCount val="1"/>
                <c:pt idx="0">
                  <c:v>Diploma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EXI_beam_diff!$AJ$6:$AJ$200</c:f>
              <c:numCache>
                <c:formatCode>General</c:formatCode>
                <c:ptCount val="195"/>
                <c:pt idx="0">
                  <c:v>0.14729999999999999</c:v>
                </c:pt>
                <c:pt idx="1">
                  <c:v>0.247</c:v>
                </c:pt>
                <c:pt idx="2">
                  <c:v>0.247</c:v>
                </c:pt>
                <c:pt idx="3">
                  <c:v>0.33189999999999997</c:v>
                </c:pt>
                <c:pt idx="4">
                  <c:v>0.33189999999999997</c:v>
                </c:pt>
                <c:pt idx="5">
                  <c:v>0.41570000000000001</c:v>
                </c:pt>
                <c:pt idx="6">
                  <c:v>0.41570000000000001</c:v>
                </c:pt>
                <c:pt idx="7">
                  <c:v>0.50129999999999997</c:v>
                </c:pt>
                <c:pt idx="8">
                  <c:v>0.50129999999999997</c:v>
                </c:pt>
                <c:pt idx="9">
                  <c:v>0.58499999999999996</c:v>
                </c:pt>
                <c:pt idx="10">
                  <c:v>0.58499999999999996</c:v>
                </c:pt>
                <c:pt idx="11">
                  <c:v>0.67030000000000001</c:v>
                </c:pt>
                <c:pt idx="12">
                  <c:v>0.67030000000000001</c:v>
                </c:pt>
                <c:pt idx="13">
                  <c:v>0.75419999999999998</c:v>
                </c:pt>
                <c:pt idx="14">
                  <c:v>0.75419999999999998</c:v>
                </c:pt>
                <c:pt idx="15">
                  <c:v>0.83819999999999995</c:v>
                </c:pt>
                <c:pt idx="16">
                  <c:v>0.83819999999999995</c:v>
                </c:pt>
                <c:pt idx="17">
                  <c:v>0.92320000000000002</c:v>
                </c:pt>
                <c:pt idx="18">
                  <c:v>0.92320000000000002</c:v>
                </c:pt>
                <c:pt idx="19">
                  <c:v>1.0081</c:v>
                </c:pt>
                <c:pt idx="20">
                  <c:v>1.0081</c:v>
                </c:pt>
                <c:pt idx="21">
                  <c:v>1.0920000000000001</c:v>
                </c:pt>
                <c:pt idx="22">
                  <c:v>1.0920000000000001</c:v>
                </c:pt>
                <c:pt idx="23">
                  <c:v>1.1758999999999999</c:v>
                </c:pt>
                <c:pt idx="24">
                  <c:v>1.1758999999999999</c:v>
                </c:pt>
                <c:pt idx="25">
                  <c:v>1.2613000000000001</c:v>
                </c:pt>
                <c:pt idx="26">
                  <c:v>1.2613000000000001</c:v>
                </c:pt>
                <c:pt idx="27">
                  <c:v>1.3448</c:v>
                </c:pt>
                <c:pt idx="28">
                  <c:v>1.3448</c:v>
                </c:pt>
                <c:pt idx="29">
                  <c:v>1.4292</c:v>
                </c:pt>
                <c:pt idx="30">
                  <c:v>1.4292</c:v>
                </c:pt>
                <c:pt idx="31">
                  <c:v>1.482</c:v>
                </c:pt>
                <c:pt idx="32">
                  <c:v>1.482</c:v>
                </c:pt>
                <c:pt idx="33">
                  <c:v>1.5161</c:v>
                </c:pt>
                <c:pt idx="34">
                  <c:v>1.5161</c:v>
                </c:pt>
                <c:pt idx="35">
                  <c:v>1.5490999999999999</c:v>
                </c:pt>
                <c:pt idx="36">
                  <c:v>1.5490999999999999</c:v>
                </c:pt>
                <c:pt idx="37">
                  <c:v>1.5824</c:v>
                </c:pt>
                <c:pt idx="38">
                  <c:v>1.5824</c:v>
                </c:pt>
                <c:pt idx="39">
                  <c:v>1.6002000000000001</c:v>
                </c:pt>
              </c:numCache>
            </c:numRef>
          </c:xVal>
          <c:yVal>
            <c:numRef>
              <c:f>EXI_beam_diff!$BA$6:$BA$200</c:f>
              <c:numCache>
                <c:formatCode>0.0000E+00</c:formatCode>
                <c:ptCount val="195"/>
                <c:pt idx="0">
                  <c:v>1610735</c:v>
                </c:pt>
                <c:pt idx="1">
                  <c:v>1393590</c:v>
                </c:pt>
                <c:pt idx="2">
                  <c:v>1393590</c:v>
                </c:pt>
                <c:pt idx="3">
                  <c:v>1054701</c:v>
                </c:pt>
                <c:pt idx="4">
                  <c:v>1054701</c:v>
                </c:pt>
                <c:pt idx="5">
                  <c:v>972021.9</c:v>
                </c:pt>
                <c:pt idx="6">
                  <c:v>972021.9</c:v>
                </c:pt>
                <c:pt idx="7">
                  <c:v>898199.5</c:v>
                </c:pt>
                <c:pt idx="8">
                  <c:v>898199.5</c:v>
                </c:pt>
                <c:pt idx="9">
                  <c:v>836489</c:v>
                </c:pt>
                <c:pt idx="10">
                  <c:v>836489</c:v>
                </c:pt>
                <c:pt idx="11">
                  <c:v>945402.2</c:v>
                </c:pt>
                <c:pt idx="12">
                  <c:v>945402.2</c:v>
                </c:pt>
                <c:pt idx="13">
                  <c:v>985841.8</c:v>
                </c:pt>
                <c:pt idx="14">
                  <c:v>985841.8</c:v>
                </c:pt>
                <c:pt idx="15">
                  <c:v>864169.8</c:v>
                </c:pt>
                <c:pt idx="16">
                  <c:v>864169.8</c:v>
                </c:pt>
                <c:pt idx="17">
                  <c:v>606702.5</c:v>
                </c:pt>
                <c:pt idx="18">
                  <c:v>606702.5</c:v>
                </c:pt>
                <c:pt idx="19">
                  <c:v>531569.30000000005</c:v>
                </c:pt>
                <c:pt idx="20">
                  <c:v>531569.30000000005</c:v>
                </c:pt>
                <c:pt idx="21">
                  <c:v>385154.6</c:v>
                </c:pt>
                <c:pt idx="22">
                  <c:v>385154.6</c:v>
                </c:pt>
                <c:pt idx="23">
                  <c:v>377438</c:v>
                </c:pt>
                <c:pt idx="24">
                  <c:v>377438</c:v>
                </c:pt>
                <c:pt idx="25">
                  <c:v>290692.5</c:v>
                </c:pt>
                <c:pt idx="26">
                  <c:v>290692.5</c:v>
                </c:pt>
                <c:pt idx="27">
                  <c:v>159101.9</c:v>
                </c:pt>
                <c:pt idx="28">
                  <c:v>159101.9</c:v>
                </c:pt>
                <c:pt idx="29">
                  <c:v>150462.1</c:v>
                </c:pt>
                <c:pt idx="30">
                  <c:v>150462.1</c:v>
                </c:pt>
                <c:pt idx="31">
                  <c:v>151997.20000000001</c:v>
                </c:pt>
                <c:pt idx="32">
                  <c:v>151997.20000000001</c:v>
                </c:pt>
                <c:pt idx="33">
                  <c:v>119787.6</c:v>
                </c:pt>
                <c:pt idx="34">
                  <c:v>119787.6</c:v>
                </c:pt>
                <c:pt idx="35">
                  <c:v>78335.509999999995</c:v>
                </c:pt>
                <c:pt idx="36">
                  <c:v>78335.509999999995</c:v>
                </c:pt>
                <c:pt idx="37">
                  <c:v>36603.74</c:v>
                </c:pt>
                <c:pt idx="38">
                  <c:v>36603.74</c:v>
                </c:pt>
                <c:pt idx="39">
                  <c:v>31551.8</c:v>
                </c:pt>
              </c:numCache>
            </c:numRef>
          </c:yVal>
          <c:smooth val="0"/>
          <c:extLst>
            <c:ext xmlns:c16="http://schemas.microsoft.com/office/drawing/2014/chart" uri="{C3380CC4-5D6E-409C-BE32-E72D297353CC}">
              <c16:uniqueId val="{00000001-1EFD-4649-A0F6-C3E8B41FE934}"/>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2"/>
                <c:order val="2"/>
                <c:tx>
                  <c:strRef>
                    <c:extLst>
                      <c:ext uri="{02D57815-91ED-43cb-92C2-25804820EDAC}">
                        <c15:formulaRef>
                          <c15:sqref>NASA!$BT$5</c15:sqref>
                        </c15:formulaRef>
                      </c:ext>
                    </c:extLst>
                    <c:strCache>
                      <c:ptCount val="1"/>
                      <c:pt idx="0">
                        <c:v>η</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extLst>
                      <c:ext uri="{02D57815-91ED-43cb-92C2-25804820EDAC}">
                        <c15:formulaRef>
                          <c15:sqref>NASA!$BL$4:$BL$32</c15:sqref>
                        </c15:formulaRef>
                      </c:ext>
                    </c:extLst>
                    <c:strCache>
                      <c:ptCount val="27"/>
                      <c:pt idx="0">
                        <c:v>in</c:v>
                      </c:pt>
                      <c:pt idx="1">
                        <c:v>R</c:v>
                      </c:pt>
                      <c:pt idx="2">
                        <c:v>m</c:v>
                      </c:pt>
                      <c:pt idx="3">
                        <c:v>0.15</c:v>
                      </c:pt>
                      <c:pt idx="4">
                        <c:v>0.21</c:v>
                      </c:pt>
                      <c:pt idx="5">
                        <c:v>0.27</c:v>
                      </c:pt>
                      <c:pt idx="6">
                        <c:v>0.34</c:v>
                      </c:pt>
                      <c:pt idx="7">
                        <c:v>0.57</c:v>
                      </c:pt>
                      <c:pt idx="8">
                        <c:v>0.60</c:v>
                      </c:pt>
                      <c:pt idx="9">
                        <c:v>0.70</c:v>
                      </c:pt>
                      <c:pt idx="10">
                        <c:v>0.80</c:v>
                      </c:pt>
                      <c:pt idx="11">
                        <c:v>0.92</c:v>
                      </c:pt>
                      <c:pt idx="12">
                        <c:v>0.92</c:v>
                      </c:pt>
                      <c:pt idx="13">
                        <c:v>0.94</c:v>
                      </c:pt>
                      <c:pt idx="14">
                        <c:v>1.05</c:v>
                      </c:pt>
                      <c:pt idx="15">
                        <c:v>1.10</c:v>
                      </c:pt>
                      <c:pt idx="16">
                        <c:v>1.17</c:v>
                      </c:pt>
                      <c:pt idx="17">
                        <c:v>1.18</c:v>
                      </c:pt>
                      <c:pt idx="18">
                        <c:v>1.31</c:v>
                      </c:pt>
                      <c:pt idx="19">
                        <c:v>1.35</c:v>
                      </c:pt>
                      <c:pt idx="20">
                        <c:v>1.47</c:v>
                      </c:pt>
                      <c:pt idx="21">
                        <c:v>1.47</c:v>
                      </c:pt>
                      <c:pt idx="22">
                        <c:v>1.48</c:v>
                      </c:pt>
                      <c:pt idx="23">
                        <c:v>1.49</c:v>
                      </c:pt>
                      <c:pt idx="24">
                        <c:v>1.58</c:v>
                      </c:pt>
                      <c:pt idx="25">
                        <c:v>1.60</c:v>
                      </c:pt>
                      <c:pt idx="26">
                        <c:v>1.60</c:v>
                      </c:pt>
                    </c:strCache>
                  </c:strRef>
                </c:xVal>
                <c:yVal>
                  <c:numRef>
                    <c:extLst>
                      <c:ext uri="{02D57815-91ED-43cb-92C2-25804820EDAC}">
                        <c15:formulaRef>
                          <c15:sqref>NASA!$BT$4:$BT$32</c15:sqref>
                        </c15:formulaRef>
                      </c:ext>
                    </c:extLst>
                    <c:numCache>
                      <c:formatCode>General</c:formatCode>
                      <c:ptCount val="29"/>
                      <c:pt idx="0">
                        <c:v>0</c:v>
                      </c:pt>
                      <c:pt idx="1">
                        <c:v>0</c:v>
                      </c:pt>
                      <c:pt idx="2">
                        <c:v>0</c:v>
                      </c:pt>
                      <c:pt idx="3" formatCode="0.000">
                        <c:v>-2.5400000000000001E-5</c:v>
                      </c:pt>
                      <c:pt idx="4" formatCode="0.000">
                        <c:v>-2.5400000000000001E-5</c:v>
                      </c:pt>
                      <c:pt idx="5" formatCode="0.000">
                        <c:v>-1.3207999999999998E-3</c:v>
                      </c:pt>
                      <c:pt idx="6" formatCode="0.000">
                        <c:v>-1.2953999999999999E-3</c:v>
                      </c:pt>
                      <c:pt idx="7" formatCode="0.000">
                        <c:v>-6.603999999999999E-4</c:v>
                      </c:pt>
                      <c:pt idx="8" formatCode="0.000">
                        <c:v>-6.3500000000000004E-4</c:v>
                      </c:pt>
                      <c:pt idx="9" formatCode="0.000">
                        <c:v>-1.2953999999999999E-3</c:v>
                      </c:pt>
                      <c:pt idx="10" formatCode="0.000">
                        <c:v>-7.8739999999999995E-4</c:v>
                      </c:pt>
                      <c:pt idx="11" formatCode="0.000">
                        <c:v>2.1843999999999995E-3</c:v>
                      </c:pt>
                      <c:pt idx="12" formatCode="0.000">
                        <c:v>2.2097999999999996E-3</c:v>
                      </c:pt>
                      <c:pt idx="13" formatCode="0.000">
                        <c:v>2.1589999999999999E-3</c:v>
                      </c:pt>
                      <c:pt idx="14" formatCode="0.000">
                        <c:v>3.2173333333333333E-3</c:v>
                      </c:pt>
                      <c:pt idx="15" formatCode="0.000">
                        <c:v>4.4449999999999993E-3</c:v>
                      </c:pt>
                      <c:pt idx="16" formatCode="0.000">
                        <c:v>4.4703999999999994E-3</c:v>
                      </c:pt>
                      <c:pt idx="17" formatCode="0.000">
                        <c:v>4.4703999999999994E-3</c:v>
                      </c:pt>
                      <c:pt idx="18" formatCode="0.000">
                        <c:v>5.5541333333333333E-3</c:v>
                      </c:pt>
                      <c:pt idx="19" formatCode="0.000">
                        <c:v>6.6039999999999996E-3</c:v>
                      </c:pt>
                      <c:pt idx="20" formatCode="0.000">
                        <c:v>6.6293999999999997E-3</c:v>
                      </c:pt>
                      <c:pt idx="21" formatCode="0.000">
                        <c:v>6.7818000000000002E-3</c:v>
                      </c:pt>
                      <c:pt idx="22" formatCode="0.000">
                        <c:v>6.6293999999999997E-3</c:v>
                      </c:pt>
                      <c:pt idx="23" formatCode="0.000">
                        <c:v>6.8072000000000002E-3</c:v>
                      </c:pt>
                      <c:pt idx="24" formatCode="0.000">
                        <c:v>4.6355E-2</c:v>
                      </c:pt>
                      <c:pt idx="25" formatCode="0.000">
                        <c:v>5.7327799999999998E-2</c:v>
                      </c:pt>
                      <c:pt idx="26" formatCode="0.000">
                        <c:v>5.7327799999999998E-2</c:v>
                      </c:pt>
                    </c:numCache>
                  </c:numRef>
                </c:yVal>
                <c:smooth val="0"/>
                <c:extLst>
                  <c:ext xmlns:c16="http://schemas.microsoft.com/office/drawing/2014/chart" uri="{C3380CC4-5D6E-409C-BE32-E72D297353CC}">
                    <c16:uniqueId val="{00000002-1EFD-4649-A0F6-C3E8B41FE934}"/>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18" Type="http://schemas.openxmlformats.org/officeDocument/2006/relationships/chart" Target="../charts/chart17.xml"/><Relationship Id="rId26" Type="http://schemas.openxmlformats.org/officeDocument/2006/relationships/chart" Target="../charts/chart25.xml"/><Relationship Id="rId3" Type="http://schemas.openxmlformats.org/officeDocument/2006/relationships/chart" Target="../charts/chart2.xml"/><Relationship Id="rId21" Type="http://schemas.openxmlformats.org/officeDocument/2006/relationships/chart" Target="../charts/chart20.xml"/><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6.xml"/><Relationship Id="rId25" Type="http://schemas.openxmlformats.org/officeDocument/2006/relationships/chart" Target="../charts/chart24.xml"/><Relationship Id="rId2" Type="http://schemas.openxmlformats.org/officeDocument/2006/relationships/image" Target="../media/image2.png"/><Relationship Id="rId16" Type="http://schemas.openxmlformats.org/officeDocument/2006/relationships/chart" Target="../charts/chart15.xml"/><Relationship Id="rId20" Type="http://schemas.openxmlformats.org/officeDocument/2006/relationships/chart" Target="../charts/chart19.xml"/><Relationship Id="rId29" Type="http://schemas.openxmlformats.org/officeDocument/2006/relationships/chart" Target="../charts/chart28.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10.xml"/><Relationship Id="rId24" Type="http://schemas.openxmlformats.org/officeDocument/2006/relationships/chart" Target="../charts/chart23.xml"/><Relationship Id="rId5" Type="http://schemas.openxmlformats.org/officeDocument/2006/relationships/chart" Target="../charts/chart4.xml"/><Relationship Id="rId15" Type="http://schemas.openxmlformats.org/officeDocument/2006/relationships/chart" Target="../charts/chart14.xml"/><Relationship Id="rId23" Type="http://schemas.openxmlformats.org/officeDocument/2006/relationships/chart" Target="../charts/chart22.xml"/><Relationship Id="rId28" Type="http://schemas.openxmlformats.org/officeDocument/2006/relationships/chart" Target="../charts/chart27.xml"/><Relationship Id="rId10" Type="http://schemas.openxmlformats.org/officeDocument/2006/relationships/chart" Target="../charts/chart9.xml"/><Relationship Id="rId19" Type="http://schemas.openxmlformats.org/officeDocument/2006/relationships/chart" Target="../charts/chart18.xml"/><Relationship Id="rId31" Type="http://schemas.openxmlformats.org/officeDocument/2006/relationships/chart" Target="../charts/chart30.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 Id="rId22" Type="http://schemas.openxmlformats.org/officeDocument/2006/relationships/chart" Target="../charts/chart21.xml"/><Relationship Id="rId27" Type="http://schemas.openxmlformats.org/officeDocument/2006/relationships/chart" Target="../charts/chart26.xml"/><Relationship Id="rId30" Type="http://schemas.openxmlformats.org/officeDocument/2006/relationships/chart" Target="../charts/chart2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8.xml"/><Relationship Id="rId13" Type="http://schemas.openxmlformats.org/officeDocument/2006/relationships/chart" Target="../charts/chart43.xml"/><Relationship Id="rId3" Type="http://schemas.openxmlformats.org/officeDocument/2006/relationships/chart" Target="../charts/chart33.xml"/><Relationship Id="rId7" Type="http://schemas.openxmlformats.org/officeDocument/2006/relationships/chart" Target="../charts/chart37.xml"/><Relationship Id="rId12" Type="http://schemas.openxmlformats.org/officeDocument/2006/relationships/chart" Target="../charts/chart42.xml"/><Relationship Id="rId2" Type="http://schemas.openxmlformats.org/officeDocument/2006/relationships/chart" Target="../charts/chart32.xml"/><Relationship Id="rId16" Type="http://schemas.openxmlformats.org/officeDocument/2006/relationships/chart" Target="../charts/chart46.xml"/><Relationship Id="rId1" Type="http://schemas.openxmlformats.org/officeDocument/2006/relationships/chart" Target="../charts/chart31.xml"/><Relationship Id="rId6" Type="http://schemas.openxmlformats.org/officeDocument/2006/relationships/chart" Target="../charts/chart36.xml"/><Relationship Id="rId11" Type="http://schemas.openxmlformats.org/officeDocument/2006/relationships/chart" Target="../charts/chart41.xml"/><Relationship Id="rId5" Type="http://schemas.openxmlformats.org/officeDocument/2006/relationships/chart" Target="../charts/chart35.xml"/><Relationship Id="rId15" Type="http://schemas.openxmlformats.org/officeDocument/2006/relationships/chart" Target="../charts/chart45.xml"/><Relationship Id="rId10" Type="http://schemas.openxmlformats.org/officeDocument/2006/relationships/chart" Target="../charts/chart40.xml"/><Relationship Id="rId4" Type="http://schemas.openxmlformats.org/officeDocument/2006/relationships/chart" Target="../charts/chart34.xml"/><Relationship Id="rId9" Type="http://schemas.openxmlformats.org/officeDocument/2006/relationships/chart" Target="../charts/chart39.xml"/><Relationship Id="rId14" Type="http://schemas.openxmlformats.org/officeDocument/2006/relationships/chart" Target="../charts/chart44.xml"/></Relationships>
</file>

<file path=xl/drawings/drawing1.xml><?xml version="1.0" encoding="utf-8"?>
<xdr:wsDr xmlns:xdr="http://schemas.openxmlformats.org/drawingml/2006/spreadsheetDrawing" xmlns:a="http://schemas.openxmlformats.org/drawingml/2006/main">
  <xdr:twoCellAnchor>
    <xdr:from>
      <xdr:col>21</xdr:col>
      <xdr:colOff>228600</xdr:colOff>
      <xdr:row>37</xdr:row>
      <xdr:rowOff>152400</xdr:rowOff>
    </xdr:from>
    <xdr:to>
      <xdr:col>35</xdr:col>
      <xdr:colOff>332509</xdr:colOff>
      <xdr:row>50</xdr:row>
      <xdr:rowOff>108857</xdr:rowOff>
    </xdr:to>
    <xdr:graphicFrame macro="">
      <xdr:nvGraphicFramePr>
        <xdr:cNvPr id="2" name="Γράφημα 1">
          <a:extLst>
            <a:ext uri="{FF2B5EF4-FFF2-40B4-BE49-F238E27FC236}">
              <a16:creationId xmlns:a16="http://schemas.microsoft.com/office/drawing/2014/main" id="{5EEAF453-1CBF-465B-9A7A-9F991F8BE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40</xdr:col>
      <xdr:colOff>739532</xdr:colOff>
      <xdr:row>47</xdr:row>
      <xdr:rowOff>152451</xdr:rowOff>
    </xdr:from>
    <xdr:to>
      <xdr:col>57</xdr:col>
      <xdr:colOff>266965</xdr:colOff>
      <xdr:row>69</xdr:row>
      <xdr:rowOff>19915</xdr:rowOff>
    </xdr:to>
    <xdr:grpSp>
      <xdr:nvGrpSpPr>
        <xdr:cNvPr id="45" name="Ομάδα 44">
          <a:extLst>
            <a:ext uri="{FF2B5EF4-FFF2-40B4-BE49-F238E27FC236}">
              <a16:creationId xmlns:a16="http://schemas.microsoft.com/office/drawing/2014/main" id="{6B33D995-49EC-462A-919A-31989504513B}"/>
            </a:ext>
          </a:extLst>
        </xdr:cNvPr>
        <xdr:cNvGrpSpPr/>
      </xdr:nvGrpSpPr>
      <xdr:grpSpPr>
        <a:xfrm>
          <a:off x="36134432" y="9448851"/>
          <a:ext cx="16081883" cy="4058464"/>
          <a:chOff x="117597382" y="6220692"/>
          <a:chExt cx="16087725" cy="3829049"/>
        </a:xfrm>
      </xdr:grpSpPr>
      <xdr:pic>
        <xdr:nvPicPr>
          <xdr:cNvPr id="46" name="Εικόνα 45">
            <a:extLst>
              <a:ext uri="{FF2B5EF4-FFF2-40B4-BE49-F238E27FC236}">
                <a16:creationId xmlns:a16="http://schemas.microsoft.com/office/drawing/2014/main" id="{648B8AEA-1F97-C82E-6B2B-83E9FBE45532}"/>
              </a:ext>
            </a:extLst>
          </xdr:cNvPr>
          <xdr:cNvPicPr>
            <a:picLocks noChangeAspect="1"/>
          </xdr:cNvPicPr>
        </xdr:nvPicPr>
        <xdr:blipFill>
          <a:blip xmlns:r="http://schemas.openxmlformats.org/officeDocument/2006/relationships" r:embed="rId1"/>
          <a:stretch>
            <a:fillRect/>
          </a:stretch>
        </xdr:blipFill>
        <xdr:spPr>
          <a:xfrm>
            <a:off x="117652800" y="6220692"/>
            <a:ext cx="16011525" cy="2647950"/>
          </a:xfrm>
          <a:prstGeom prst="rect">
            <a:avLst/>
          </a:prstGeom>
        </xdr:spPr>
      </xdr:pic>
      <xdr:pic>
        <xdr:nvPicPr>
          <xdr:cNvPr id="47" name="Εικόνα 46">
            <a:extLst>
              <a:ext uri="{FF2B5EF4-FFF2-40B4-BE49-F238E27FC236}">
                <a16:creationId xmlns:a16="http://schemas.microsoft.com/office/drawing/2014/main" id="{2637AA95-00C9-0004-83E2-F177B9D4E29B}"/>
              </a:ext>
            </a:extLst>
          </xdr:cNvPr>
          <xdr:cNvPicPr>
            <a:picLocks noChangeAspect="1"/>
          </xdr:cNvPicPr>
        </xdr:nvPicPr>
        <xdr:blipFill>
          <a:blip xmlns:r="http://schemas.openxmlformats.org/officeDocument/2006/relationships" r:embed="rId2"/>
          <a:stretch>
            <a:fillRect/>
          </a:stretch>
        </xdr:blipFill>
        <xdr:spPr>
          <a:xfrm>
            <a:off x="117597382" y="8811491"/>
            <a:ext cx="16087725" cy="1238250"/>
          </a:xfrm>
          <a:prstGeom prst="rect">
            <a:avLst/>
          </a:prstGeom>
        </xdr:spPr>
      </xdr:pic>
    </xdr:grpSp>
    <xdr:clientData/>
  </xdr:twoCellAnchor>
  <xdr:twoCellAnchor>
    <xdr:from>
      <xdr:col>14</xdr:col>
      <xdr:colOff>359869</xdr:colOff>
      <xdr:row>33</xdr:row>
      <xdr:rowOff>23634</xdr:rowOff>
    </xdr:from>
    <xdr:to>
      <xdr:col>24</xdr:col>
      <xdr:colOff>645459</xdr:colOff>
      <xdr:row>47</xdr:row>
      <xdr:rowOff>162601</xdr:rowOff>
    </xdr:to>
    <xdr:graphicFrame macro="">
      <xdr:nvGraphicFramePr>
        <xdr:cNvPr id="53" name="Γράφημα 52">
          <a:extLst>
            <a:ext uri="{FF2B5EF4-FFF2-40B4-BE49-F238E27FC236}">
              <a16:creationId xmlns:a16="http://schemas.microsoft.com/office/drawing/2014/main" id="{AD835A2B-81A0-47AF-B147-89F4B80CB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163286</xdr:colOff>
      <xdr:row>32</xdr:row>
      <xdr:rowOff>130629</xdr:rowOff>
    </xdr:from>
    <xdr:to>
      <xdr:col>14</xdr:col>
      <xdr:colOff>21772</xdr:colOff>
      <xdr:row>47</xdr:row>
      <xdr:rowOff>97972</xdr:rowOff>
    </xdr:to>
    <xdr:graphicFrame macro="">
      <xdr:nvGraphicFramePr>
        <xdr:cNvPr id="3" name="Γράφημα 2">
          <a:extLst>
            <a:ext uri="{FF2B5EF4-FFF2-40B4-BE49-F238E27FC236}">
              <a16:creationId xmlns:a16="http://schemas.microsoft.com/office/drawing/2014/main" id="{5E35D22B-C6A6-3006-125F-23E083FCC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57</xdr:col>
      <xdr:colOff>794903</xdr:colOff>
      <xdr:row>32</xdr:row>
      <xdr:rowOff>122959</xdr:rowOff>
    </xdr:from>
    <xdr:to>
      <xdr:col>61</xdr:col>
      <xdr:colOff>600940</xdr:colOff>
      <xdr:row>47</xdr:row>
      <xdr:rowOff>161059</xdr:rowOff>
    </xdr:to>
    <xdr:graphicFrame macro="">
      <xdr:nvGraphicFramePr>
        <xdr:cNvPr id="7" name="Γράφημα 6">
          <a:extLst>
            <a:ext uri="{FF2B5EF4-FFF2-40B4-BE49-F238E27FC236}">
              <a16:creationId xmlns:a16="http://schemas.microsoft.com/office/drawing/2014/main" id="{B709AE03-A345-4C84-B23E-F7DAEBB44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57</xdr:col>
      <xdr:colOff>774122</xdr:colOff>
      <xdr:row>47</xdr:row>
      <xdr:rowOff>164522</xdr:rowOff>
    </xdr:from>
    <xdr:to>
      <xdr:col>61</xdr:col>
      <xdr:colOff>580159</xdr:colOff>
      <xdr:row>63</xdr:row>
      <xdr:rowOff>22513</xdr:rowOff>
    </xdr:to>
    <xdr:graphicFrame macro="">
      <xdr:nvGraphicFramePr>
        <xdr:cNvPr id="10" name="Γράφημα 9">
          <a:extLst>
            <a:ext uri="{FF2B5EF4-FFF2-40B4-BE49-F238E27FC236}">
              <a16:creationId xmlns:a16="http://schemas.microsoft.com/office/drawing/2014/main" id="{F3A6C274-A3CC-46C5-AE98-38DABF0F8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57</xdr:col>
      <xdr:colOff>779318</xdr:colOff>
      <xdr:row>63</xdr:row>
      <xdr:rowOff>27710</xdr:rowOff>
    </xdr:from>
    <xdr:to>
      <xdr:col>61</xdr:col>
      <xdr:colOff>585355</xdr:colOff>
      <xdr:row>78</xdr:row>
      <xdr:rowOff>65809</xdr:rowOff>
    </xdr:to>
    <xdr:graphicFrame macro="">
      <xdr:nvGraphicFramePr>
        <xdr:cNvPr id="11" name="Γράφημα 10">
          <a:extLst>
            <a:ext uri="{FF2B5EF4-FFF2-40B4-BE49-F238E27FC236}">
              <a16:creationId xmlns:a16="http://schemas.microsoft.com/office/drawing/2014/main" id="{7FE47EE8-C430-4787-8E62-C9F6374D6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61</xdr:col>
      <xdr:colOff>983673</xdr:colOff>
      <xdr:row>32</xdr:row>
      <xdr:rowOff>152400</xdr:rowOff>
    </xdr:from>
    <xdr:to>
      <xdr:col>66</xdr:col>
      <xdr:colOff>678873</xdr:colOff>
      <xdr:row>48</xdr:row>
      <xdr:rowOff>10391</xdr:rowOff>
    </xdr:to>
    <xdr:graphicFrame macro="">
      <xdr:nvGraphicFramePr>
        <xdr:cNvPr id="12" name="Γράφημα 11">
          <a:extLst>
            <a:ext uri="{FF2B5EF4-FFF2-40B4-BE49-F238E27FC236}">
              <a16:creationId xmlns:a16="http://schemas.microsoft.com/office/drawing/2014/main" id="{0DA7E5DC-9AC6-4230-A344-E9383ECD1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61</xdr:col>
      <xdr:colOff>976747</xdr:colOff>
      <xdr:row>47</xdr:row>
      <xdr:rowOff>152399</xdr:rowOff>
    </xdr:from>
    <xdr:to>
      <xdr:col>66</xdr:col>
      <xdr:colOff>671947</xdr:colOff>
      <xdr:row>63</xdr:row>
      <xdr:rowOff>10390</xdr:rowOff>
    </xdr:to>
    <xdr:graphicFrame macro="">
      <xdr:nvGraphicFramePr>
        <xdr:cNvPr id="13" name="Γράφημα 12">
          <a:extLst>
            <a:ext uri="{FF2B5EF4-FFF2-40B4-BE49-F238E27FC236}">
              <a16:creationId xmlns:a16="http://schemas.microsoft.com/office/drawing/2014/main" id="{7E00CD47-2181-4B69-A4DF-6E2223435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61</xdr:col>
      <xdr:colOff>968088</xdr:colOff>
      <xdr:row>63</xdr:row>
      <xdr:rowOff>15588</xdr:rowOff>
    </xdr:from>
    <xdr:to>
      <xdr:col>66</xdr:col>
      <xdr:colOff>663288</xdr:colOff>
      <xdr:row>78</xdr:row>
      <xdr:rowOff>53687</xdr:rowOff>
    </xdr:to>
    <xdr:graphicFrame macro="">
      <xdr:nvGraphicFramePr>
        <xdr:cNvPr id="14" name="Γράφημα 13">
          <a:extLst>
            <a:ext uri="{FF2B5EF4-FFF2-40B4-BE49-F238E27FC236}">
              <a16:creationId xmlns:a16="http://schemas.microsoft.com/office/drawing/2014/main" id="{DBF00AC4-77F8-4526-8348-C0ED9CD14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66</xdr:col>
      <xdr:colOff>907472</xdr:colOff>
      <xdr:row>33</xdr:row>
      <xdr:rowOff>0</xdr:rowOff>
    </xdr:from>
    <xdr:to>
      <xdr:col>71</xdr:col>
      <xdr:colOff>311726</xdr:colOff>
      <xdr:row>48</xdr:row>
      <xdr:rowOff>38100</xdr:rowOff>
    </xdr:to>
    <xdr:graphicFrame macro="">
      <xdr:nvGraphicFramePr>
        <xdr:cNvPr id="15" name="Γράφημα 14">
          <a:extLst>
            <a:ext uri="{FF2B5EF4-FFF2-40B4-BE49-F238E27FC236}">
              <a16:creationId xmlns:a16="http://schemas.microsoft.com/office/drawing/2014/main" id="{6BD4590A-811D-4BBA-8A6F-A50EDC400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66</xdr:col>
      <xdr:colOff>900546</xdr:colOff>
      <xdr:row>48</xdr:row>
      <xdr:rowOff>-1</xdr:rowOff>
    </xdr:from>
    <xdr:to>
      <xdr:col>71</xdr:col>
      <xdr:colOff>304800</xdr:colOff>
      <xdr:row>63</xdr:row>
      <xdr:rowOff>38099</xdr:rowOff>
    </xdr:to>
    <xdr:graphicFrame macro="">
      <xdr:nvGraphicFramePr>
        <xdr:cNvPr id="16" name="Γράφημα 15">
          <a:extLst>
            <a:ext uri="{FF2B5EF4-FFF2-40B4-BE49-F238E27FC236}">
              <a16:creationId xmlns:a16="http://schemas.microsoft.com/office/drawing/2014/main" id="{FFE724F2-566E-46ED-8522-DC7E043BC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71</xdr:col>
      <xdr:colOff>519545</xdr:colOff>
      <xdr:row>32</xdr:row>
      <xdr:rowOff>166255</xdr:rowOff>
    </xdr:from>
    <xdr:to>
      <xdr:col>75</xdr:col>
      <xdr:colOff>1018309</xdr:colOff>
      <xdr:row>48</xdr:row>
      <xdr:rowOff>24246</xdr:rowOff>
    </xdr:to>
    <xdr:graphicFrame macro="">
      <xdr:nvGraphicFramePr>
        <xdr:cNvPr id="17" name="Γράφημα 16">
          <a:extLst>
            <a:ext uri="{FF2B5EF4-FFF2-40B4-BE49-F238E27FC236}">
              <a16:creationId xmlns:a16="http://schemas.microsoft.com/office/drawing/2014/main" id="{7CC03EC5-A257-4C6E-AFCD-9B1AA8034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71</xdr:col>
      <xdr:colOff>512619</xdr:colOff>
      <xdr:row>47</xdr:row>
      <xdr:rowOff>166254</xdr:rowOff>
    </xdr:from>
    <xdr:to>
      <xdr:col>75</xdr:col>
      <xdr:colOff>1011383</xdr:colOff>
      <xdr:row>63</xdr:row>
      <xdr:rowOff>24245</xdr:rowOff>
    </xdr:to>
    <xdr:graphicFrame macro="">
      <xdr:nvGraphicFramePr>
        <xdr:cNvPr id="18" name="Γράφημα 17">
          <a:extLst>
            <a:ext uri="{FF2B5EF4-FFF2-40B4-BE49-F238E27FC236}">
              <a16:creationId xmlns:a16="http://schemas.microsoft.com/office/drawing/2014/main" id="{E03ED571-37F6-4E6B-A083-687EED7CC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76</xdr:col>
      <xdr:colOff>131617</xdr:colOff>
      <xdr:row>32</xdr:row>
      <xdr:rowOff>166254</xdr:rowOff>
    </xdr:from>
    <xdr:to>
      <xdr:col>80</xdr:col>
      <xdr:colOff>242453</xdr:colOff>
      <xdr:row>48</xdr:row>
      <xdr:rowOff>24245</xdr:rowOff>
    </xdr:to>
    <xdr:graphicFrame macro="">
      <xdr:nvGraphicFramePr>
        <xdr:cNvPr id="19" name="Γράφημα 18">
          <a:extLst>
            <a:ext uri="{FF2B5EF4-FFF2-40B4-BE49-F238E27FC236}">
              <a16:creationId xmlns:a16="http://schemas.microsoft.com/office/drawing/2014/main" id="{5AD30B5F-C92F-4809-BF2F-20731CBCB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76</xdr:col>
      <xdr:colOff>124691</xdr:colOff>
      <xdr:row>47</xdr:row>
      <xdr:rowOff>166253</xdr:rowOff>
    </xdr:from>
    <xdr:to>
      <xdr:col>80</xdr:col>
      <xdr:colOff>235527</xdr:colOff>
      <xdr:row>63</xdr:row>
      <xdr:rowOff>24244</xdr:rowOff>
    </xdr:to>
    <xdr:graphicFrame macro="">
      <xdr:nvGraphicFramePr>
        <xdr:cNvPr id="20" name="Γράφημα 19">
          <a:extLst>
            <a:ext uri="{FF2B5EF4-FFF2-40B4-BE49-F238E27FC236}">
              <a16:creationId xmlns:a16="http://schemas.microsoft.com/office/drawing/2014/main" id="{5465CFD6-9094-4706-A81B-DC8AA9112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88</xdr:col>
      <xdr:colOff>20781</xdr:colOff>
      <xdr:row>29</xdr:row>
      <xdr:rowOff>0</xdr:rowOff>
    </xdr:from>
    <xdr:to>
      <xdr:col>95</xdr:col>
      <xdr:colOff>322118</xdr:colOff>
      <xdr:row>44</xdr:row>
      <xdr:rowOff>38100</xdr:rowOff>
    </xdr:to>
    <xdr:graphicFrame macro="">
      <xdr:nvGraphicFramePr>
        <xdr:cNvPr id="57" name="Γράφημα 56">
          <a:extLst>
            <a:ext uri="{FF2B5EF4-FFF2-40B4-BE49-F238E27FC236}">
              <a16:creationId xmlns:a16="http://schemas.microsoft.com/office/drawing/2014/main" id="{97ED454F-05DC-4A01-AEBF-7BAD2D245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88</xdr:col>
      <xdr:colOff>0</xdr:colOff>
      <xdr:row>44</xdr:row>
      <xdr:rowOff>41563</xdr:rowOff>
    </xdr:from>
    <xdr:to>
      <xdr:col>95</xdr:col>
      <xdr:colOff>301337</xdr:colOff>
      <xdr:row>59</xdr:row>
      <xdr:rowOff>90054</xdr:rowOff>
    </xdr:to>
    <xdr:graphicFrame macro="">
      <xdr:nvGraphicFramePr>
        <xdr:cNvPr id="58" name="Γράφημα 57">
          <a:extLst>
            <a:ext uri="{FF2B5EF4-FFF2-40B4-BE49-F238E27FC236}">
              <a16:creationId xmlns:a16="http://schemas.microsoft.com/office/drawing/2014/main" id="{C62D4851-1DB7-46A1-91BB-49837BF19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88</xdr:col>
      <xdr:colOff>5196</xdr:colOff>
      <xdr:row>59</xdr:row>
      <xdr:rowOff>95251</xdr:rowOff>
    </xdr:from>
    <xdr:to>
      <xdr:col>95</xdr:col>
      <xdr:colOff>306533</xdr:colOff>
      <xdr:row>74</xdr:row>
      <xdr:rowOff>133350</xdr:rowOff>
    </xdr:to>
    <xdr:graphicFrame macro="">
      <xdr:nvGraphicFramePr>
        <xdr:cNvPr id="59" name="Γράφημα 58">
          <a:extLst>
            <a:ext uri="{FF2B5EF4-FFF2-40B4-BE49-F238E27FC236}">
              <a16:creationId xmlns:a16="http://schemas.microsoft.com/office/drawing/2014/main" id="{AD7B8D3F-F597-4161-832F-9EC6D01B1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95</xdr:col>
      <xdr:colOff>704851</xdr:colOff>
      <xdr:row>29</xdr:row>
      <xdr:rowOff>29441</xdr:rowOff>
    </xdr:from>
    <xdr:to>
      <xdr:col>101</xdr:col>
      <xdr:colOff>685801</xdr:colOff>
      <xdr:row>44</xdr:row>
      <xdr:rowOff>77932</xdr:rowOff>
    </xdr:to>
    <xdr:graphicFrame macro="">
      <xdr:nvGraphicFramePr>
        <xdr:cNvPr id="60" name="Γράφημα 59">
          <a:extLst>
            <a:ext uri="{FF2B5EF4-FFF2-40B4-BE49-F238E27FC236}">
              <a16:creationId xmlns:a16="http://schemas.microsoft.com/office/drawing/2014/main" id="{A10E5D9E-771F-4F8B-ACF2-B3C0A8A0D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95</xdr:col>
      <xdr:colOff>697925</xdr:colOff>
      <xdr:row>44</xdr:row>
      <xdr:rowOff>29440</xdr:rowOff>
    </xdr:from>
    <xdr:to>
      <xdr:col>101</xdr:col>
      <xdr:colOff>678875</xdr:colOff>
      <xdr:row>59</xdr:row>
      <xdr:rowOff>77931</xdr:rowOff>
    </xdr:to>
    <xdr:graphicFrame macro="">
      <xdr:nvGraphicFramePr>
        <xdr:cNvPr id="65" name="Γράφημα 64">
          <a:extLst>
            <a:ext uri="{FF2B5EF4-FFF2-40B4-BE49-F238E27FC236}">
              <a16:creationId xmlns:a16="http://schemas.microsoft.com/office/drawing/2014/main" id="{F712F2D8-8980-499F-AA88-90D51415B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95</xdr:col>
      <xdr:colOff>689266</xdr:colOff>
      <xdr:row>59</xdr:row>
      <xdr:rowOff>83129</xdr:rowOff>
    </xdr:from>
    <xdr:to>
      <xdr:col>101</xdr:col>
      <xdr:colOff>670216</xdr:colOff>
      <xdr:row>74</xdr:row>
      <xdr:rowOff>121228</xdr:rowOff>
    </xdr:to>
    <xdr:graphicFrame macro="">
      <xdr:nvGraphicFramePr>
        <xdr:cNvPr id="66" name="Γράφημα 65">
          <a:extLst>
            <a:ext uri="{FF2B5EF4-FFF2-40B4-BE49-F238E27FC236}">
              <a16:creationId xmlns:a16="http://schemas.microsoft.com/office/drawing/2014/main" id="{6167A97B-FC92-45A6-ADDC-FA814AF85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102</xdr:col>
      <xdr:colOff>114300</xdr:colOff>
      <xdr:row>44</xdr:row>
      <xdr:rowOff>29441</xdr:rowOff>
    </xdr:from>
    <xdr:to>
      <xdr:col>107</xdr:col>
      <xdr:colOff>642504</xdr:colOff>
      <xdr:row>59</xdr:row>
      <xdr:rowOff>67541</xdr:rowOff>
    </xdr:to>
    <xdr:graphicFrame macro="">
      <xdr:nvGraphicFramePr>
        <xdr:cNvPr id="67" name="Γράφημα 66">
          <a:extLst>
            <a:ext uri="{FF2B5EF4-FFF2-40B4-BE49-F238E27FC236}">
              <a16:creationId xmlns:a16="http://schemas.microsoft.com/office/drawing/2014/main" id="{407BD9F2-D2E1-425E-A0EA-BABA1C7DA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102</xdr:col>
      <xdr:colOff>107374</xdr:colOff>
      <xdr:row>59</xdr:row>
      <xdr:rowOff>29440</xdr:rowOff>
    </xdr:from>
    <xdr:to>
      <xdr:col>107</xdr:col>
      <xdr:colOff>635578</xdr:colOff>
      <xdr:row>74</xdr:row>
      <xdr:rowOff>67540</xdr:rowOff>
    </xdr:to>
    <xdr:graphicFrame macro="">
      <xdr:nvGraphicFramePr>
        <xdr:cNvPr id="68" name="Γράφημα 67">
          <a:extLst>
            <a:ext uri="{FF2B5EF4-FFF2-40B4-BE49-F238E27FC236}">
              <a16:creationId xmlns:a16="http://schemas.microsoft.com/office/drawing/2014/main" id="{0C2415A8-F28F-4243-8E05-6B30E67A3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108</xdr:col>
      <xdr:colOff>107373</xdr:colOff>
      <xdr:row>44</xdr:row>
      <xdr:rowOff>24246</xdr:rowOff>
    </xdr:from>
    <xdr:to>
      <xdr:col>114</xdr:col>
      <xdr:colOff>187037</xdr:colOff>
      <xdr:row>59</xdr:row>
      <xdr:rowOff>72737</xdr:rowOff>
    </xdr:to>
    <xdr:graphicFrame macro="">
      <xdr:nvGraphicFramePr>
        <xdr:cNvPr id="69" name="Γράφημα 68">
          <a:extLst>
            <a:ext uri="{FF2B5EF4-FFF2-40B4-BE49-F238E27FC236}">
              <a16:creationId xmlns:a16="http://schemas.microsoft.com/office/drawing/2014/main" id="{0C450CF4-931A-4E95-A163-644A48E8C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108</xdr:col>
      <xdr:colOff>100447</xdr:colOff>
      <xdr:row>59</xdr:row>
      <xdr:rowOff>24245</xdr:rowOff>
    </xdr:from>
    <xdr:to>
      <xdr:col>114</xdr:col>
      <xdr:colOff>180111</xdr:colOff>
      <xdr:row>74</xdr:row>
      <xdr:rowOff>72736</xdr:rowOff>
    </xdr:to>
    <xdr:graphicFrame macro="">
      <xdr:nvGraphicFramePr>
        <xdr:cNvPr id="70" name="Γράφημα 69">
          <a:extLst>
            <a:ext uri="{FF2B5EF4-FFF2-40B4-BE49-F238E27FC236}">
              <a16:creationId xmlns:a16="http://schemas.microsoft.com/office/drawing/2014/main" id="{0522369A-0E5D-40DC-9D7F-224C5CDA7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114</xdr:col>
      <xdr:colOff>329045</xdr:colOff>
      <xdr:row>29</xdr:row>
      <xdr:rowOff>43295</xdr:rowOff>
    </xdr:from>
    <xdr:to>
      <xdr:col>122</xdr:col>
      <xdr:colOff>1731</xdr:colOff>
      <xdr:row>44</xdr:row>
      <xdr:rowOff>91786</xdr:rowOff>
    </xdr:to>
    <xdr:graphicFrame macro="">
      <xdr:nvGraphicFramePr>
        <xdr:cNvPr id="71" name="Γράφημα 70">
          <a:extLst>
            <a:ext uri="{FF2B5EF4-FFF2-40B4-BE49-F238E27FC236}">
              <a16:creationId xmlns:a16="http://schemas.microsoft.com/office/drawing/2014/main" id="{97D62D19-3EDA-4617-B772-F0EE7F940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114</xdr:col>
      <xdr:colOff>322119</xdr:colOff>
      <xdr:row>44</xdr:row>
      <xdr:rowOff>43294</xdr:rowOff>
    </xdr:from>
    <xdr:to>
      <xdr:col>121</xdr:col>
      <xdr:colOff>604405</xdr:colOff>
      <xdr:row>59</xdr:row>
      <xdr:rowOff>91785</xdr:rowOff>
    </xdr:to>
    <xdr:graphicFrame macro="">
      <xdr:nvGraphicFramePr>
        <xdr:cNvPr id="72" name="Γράφημα 71">
          <a:extLst>
            <a:ext uri="{FF2B5EF4-FFF2-40B4-BE49-F238E27FC236}">
              <a16:creationId xmlns:a16="http://schemas.microsoft.com/office/drawing/2014/main" id="{E19AFB7F-E30E-4914-81E6-78B108888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102</xdr:col>
      <xdr:colOff>114300</xdr:colOff>
      <xdr:row>28</xdr:row>
      <xdr:rowOff>176645</xdr:rowOff>
    </xdr:from>
    <xdr:to>
      <xdr:col>107</xdr:col>
      <xdr:colOff>642504</xdr:colOff>
      <xdr:row>44</xdr:row>
      <xdr:rowOff>24245</xdr:rowOff>
    </xdr:to>
    <xdr:graphicFrame macro="">
      <xdr:nvGraphicFramePr>
        <xdr:cNvPr id="73" name="Γράφημα 72">
          <a:extLst>
            <a:ext uri="{FF2B5EF4-FFF2-40B4-BE49-F238E27FC236}">
              <a16:creationId xmlns:a16="http://schemas.microsoft.com/office/drawing/2014/main" id="{0F65D70B-7CBF-4110-9497-5F629DF2B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108</xdr:col>
      <xdr:colOff>107373</xdr:colOff>
      <xdr:row>28</xdr:row>
      <xdr:rowOff>171450</xdr:rowOff>
    </xdr:from>
    <xdr:to>
      <xdr:col>114</xdr:col>
      <xdr:colOff>187037</xdr:colOff>
      <xdr:row>44</xdr:row>
      <xdr:rowOff>29441</xdr:rowOff>
    </xdr:to>
    <xdr:graphicFrame macro="">
      <xdr:nvGraphicFramePr>
        <xdr:cNvPr id="74" name="Γράφημα 73">
          <a:extLst>
            <a:ext uri="{FF2B5EF4-FFF2-40B4-BE49-F238E27FC236}">
              <a16:creationId xmlns:a16="http://schemas.microsoft.com/office/drawing/2014/main" id="{366BCE0C-C007-4F34-90CC-7F2194ADF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41</xdr:col>
      <xdr:colOff>345141</xdr:colOff>
      <xdr:row>30</xdr:row>
      <xdr:rowOff>62753</xdr:rowOff>
    </xdr:from>
    <xdr:to>
      <xdr:col>46</xdr:col>
      <xdr:colOff>165847</xdr:colOff>
      <xdr:row>45</xdr:row>
      <xdr:rowOff>116541</xdr:rowOff>
    </xdr:to>
    <xdr:graphicFrame macro="">
      <xdr:nvGraphicFramePr>
        <xdr:cNvPr id="2" name="Γράφημα 1">
          <a:extLst>
            <a:ext uri="{FF2B5EF4-FFF2-40B4-BE49-F238E27FC236}">
              <a16:creationId xmlns:a16="http://schemas.microsoft.com/office/drawing/2014/main" id="{73C9E213-F985-2DA2-3AB9-A6ADB9105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255071</xdr:colOff>
      <xdr:row>64</xdr:row>
      <xdr:rowOff>142702</xdr:rowOff>
    </xdr:from>
    <xdr:to>
      <xdr:col>21</xdr:col>
      <xdr:colOff>351212</xdr:colOff>
      <xdr:row>83</xdr:row>
      <xdr:rowOff>22860</xdr:rowOff>
    </xdr:to>
    <xdr:graphicFrame macro="">
      <xdr:nvGraphicFramePr>
        <xdr:cNvPr id="2" name="Γράφημα 1">
          <a:extLst>
            <a:ext uri="{FF2B5EF4-FFF2-40B4-BE49-F238E27FC236}">
              <a16:creationId xmlns:a16="http://schemas.microsoft.com/office/drawing/2014/main" id="{A426BC12-F3F9-4D1E-8D88-10C0FFA46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263236</xdr:colOff>
      <xdr:row>82</xdr:row>
      <xdr:rowOff>179070</xdr:rowOff>
    </xdr:from>
    <xdr:to>
      <xdr:col>21</xdr:col>
      <xdr:colOff>351757</xdr:colOff>
      <xdr:row>101</xdr:row>
      <xdr:rowOff>51608</xdr:rowOff>
    </xdr:to>
    <xdr:graphicFrame macro="">
      <xdr:nvGraphicFramePr>
        <xdr:cNvPr id="3" name="Γράφημα 2">
          <a:extLst>
            <a:ext uri="{FF2B5EF4-FFF2-40B4-BE49-F238E27FC236}">
              <a16:creationId xmlns:a16="http://schemas.microsoft.com/office/drawing/2014/main" id="{B8BDA138-3079-467C-9F42-EA7199FC2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249381</xdr:colOff>
      <xdr:row>101</xdr:row>
      <xdr:rowOff>60267</xdr:rowOff>
    </xdr:from>
    <xdr:to>
      <xdr:col>21</xdr:col>
      <xdr:colOff>353142</xdr:colOff>
      <xdr:row>119</xdr:row>
      <xdr:rowOff>108064</xdr:rowOff>
    </xdr:to>
    <xdr:graphicFrame macro="">
      <xdr:nvGraphicFramePr>
        <xdr:cNvPr id="4" name="Γράφημα 3">
          <a:extLst>
            <a:ext uri="{FF2B5EF4-FFF2-40B4-BE49-F238E27FC236}">
              <a16:creationId xmlns:a16="http://schemas.microsoft.com/office/drawing/2014/main" id="{75ACBAB4-3540-4B83-8B6E-CEA053D51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376645</xdr:colOff>
      <xdr:row>64</xdr:row>
      <xdr:rowOff>144088</xdr:rowOff>
    </xdr:from>
    <xdr:to>
      <xdr:col>30</xdr:col>
      <xdr:colOff>69272</xdr:colOff>
      <xdr:row>83</xdr:row>
      <xdr:rowOff>16626</xdr:rowOff>
    </xdr:to>
    <xdr:graphicFrame macro="">
      <xdr:nvGraphicFramePr>
        <xdr:cNvPr id="5" name="Γράφημα 4">
          <a:extLst>
            <a:ext uri="{FF2B5EF4-FFF2-40B4-BE49-F238E27FC236}">
              <a16:creationId xmlns:a16="http://schemas.microsoft.com/office/drawing/2014/main" id="{32612D91-AA5C-4481-B844-0AA31D5ED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373380</xdr:colOff>
      <xdr:row>83</xdr:row>
      <xdr:rowOff>19050</xdr:rowOff>
    </xdr:from>
    <xdr:to>
      <xdr:col>30</xdr:col>
      <xdr:colOff>73627</xdr:colOff>
      <xdr:row>101</xdr:row>
      <xdr:rowOff>97328</xdr:rowOff>
    </xdr:to>
    <xdr:graphicFrame macro="">
      <xdr:nvGraphicFramePr>
        <xdr:cNvPr id="6" name="Γράφημα 5">
          <a:extLst>
            <a:ext uri="{FF2B5EF4-FFF2-40B4-BE49-F238E27FC236}">
              <a16:creationId xmlns:a16="http://schemas.microsoft.com/office/drawing/2014/main" id="{724F3228-416B-4C1A-8F75-A29CAE51E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373380</xdr:colOff>
      <xdr:row>101</xdr:row>
      <xdr:rowOff>99060</xdr:rowOff>
    </xdr:from>
    <xdr:to>
      <xdr:col>30</xdr:col>
      <xdr:colOff>73627</xdr:colOff>
      <xdr:row>119</xdr:row>
      <xdr:rowOff>123998</xdr:rowOff>
    </xdr:to>
    <xdr:graphicFrame macro="">
      <xdr:nvGraphicFramePr>
        <xdr:cNvPr id="7" name="Γράφημα 6">
          <a:extLst>
            <a:ext uri="{FF2B5EF4-FFF2-40B4-BE49-F238E27FC236}">
              <a16:creationId xmlns:a16="http://schemas.microsoft.com/office/drawing/2014/main" id="{759CA3E7-52ED-4FE6-94C6-B477C30E8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233748</xdr:colOff>
      <xdr:row>64</xdr:row>
      <xdr:rowOff>127461</xdr:rowOff>
    </xdr:from>
    <xdr:to>
      <xdr:col>37</xdr:col>
      <xdr:colOff>399507</xdr:colOff>
      <xdr:row>83</xdr:row>
      <xdr:rowOff>-1</xdr:rowOff>
    </xdr:to>
    <xdr:graphicFrame macro="">
      <xdr:nvGraphicFramePr>
        <xdr:cNvPr id="8" name="Γράφημα 7">
          <a:extLst>
            <a:ext uri="{FF2B5EF4-FFF2-40B4-BE49-F238E27FC236}">
              <a16:creationId xmlns:a16="http://schemas.microsoft.com/office/drawing/2014/main" id="{A88435A6-B8EE-4AAA-AF04-E9B70703F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777684</xdr:colOff>
      <xdr:row>64</xdr:row>
      <xdr:rowOff>132657</xdr:rowOff>
    </xdr:from>
    <xdr:to>
      <xdr:col>51</xdr:col>
      <xdr:colOff>72390</xdr:colOff>
      <xdr:row>83</xdr:row>
      <xdr:rowOff>5193</xdr:rowOff>
    </xdr:to>
    <xdr:graphicFrame macro="">
      <xdr:nvGraphicFramePr>
        <xdr:cNvPr id="11" name="Γράφημα 10">
          <a:extLst>
            <a:ext uri="{FF2B5EF4-FFF2-40B4-BE49-F238E27FC236}">
              <a16:creationId xmlns:a16="http://schemas.microsoft.com/office/drawing/2014/main" id="{046FB35E-EDCA-4497-A12A-EE1082614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37</xdr:col>
      <xdr:colOff>523058</xdr:colOff>
      <xdr:row>64</xdr:row>
      <xdr:rowOff>128452</xdr:rowOff>
    </xdr:from>
    <xdr:to>
      <xdr:col>44</xdr:col>
      <xdr:colOff>645274</xdr:colOff>
      <xdr:row>83</xdr:row>
      <xdr:rowOff>21674</xdr:rowOff>
    </xdr:to>
    <xdr:graphicFrame macro="">
      <xdr:nvGraphicFramePr>
        <xdr:cNvPr id="12" name="Γράφημα 11">
          <a:extLst>
            <a:ext uri="{FF2B5EF4-FFF2-40B4-BE49-F238E27FC236}">
              <a16:creationId xmlns:a16="http://schemas.microsoft.com/office/drawing/2014/main" id="{859F4D3A-ED28-42F6-860C-811D19AB3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44</xdr:col>
      <xdr:colOff>777240</xdr:colOff>
      <xdr:row>83</xdr:row>
      <xdr:rowOff>26670</xdr:rowOff>
    </xdr:from>
    <xdr:to>
      <xdr:col>51</xdr:col>
      <xdr:colOff>46016</xdr:colOff>
      <xdr:row>101</xdr:row>
      <xdr:rowOff>87532</xdr:rowOff>
    </xdr:to>
    <xdr:graphicFrame macro="">
      <xdr:nvGraphicFramePr>
        <xdr:cNvPr id="14" name="Γράφημα 13">
          <a:extLst>
            <a:ext uri="{FF2B5EF4-FFF2-40B4-BE49-F238E27FC236}">
              <a16:creationId xmlns:a16="http://schemas.microsoft.com/office/drawing/2014/main" id="{6B6A3043-7DAB-4634-8CB8-469F454F6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44</xdr:col>
      <xdr:colOff>777240</xdr:colOff>
      <xdr:row>101</xdr:row>
      <xdr:rowOff>68483</xdr:rowOff>
    </xdr:from>
    <xdr:to>
      <xdr:col>51</xdr:col>
      <xdr:colOff>46016</xdr:colOff>
      <xdr:row>119</xdr:row>
      <xdr:rowOff>128848</xdr:rowOff>
    </xdr:to>
    <xdr:graphicFrame macro="">
      <xdr:nvGraphicFramePr>
        <xdr:cNvPr id="15" name="Γράφημα 14">
          <a:extLst>
            <a:ext uri="{FF2B5EF4-FFF2-40B4-BE49-F238E27FC236}">
              <a16:creationId xmlns:a16="http://schemas.microsoft.com/office/drawing/2014/main" id="{AFDBE278-89F2-45DE-9DD9-0040EEF35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53340</xdr:colOff>
      <xdr:row>64</xdr:row>
      <xdr:rowOff>167640</xdr:rowOff>
    </xdr:from>
    <xdr:to>
      <xdr:col>15</xdr:col>
      <xdr:colOff>149827</xdr:colOff>
      <xdr:row>83</xdr:row>
      <xdr:rowOff>40178</xdr:rowOff>
    </xdr:to>
    <xdr:graphicFrame macro="">
      <xdr:nvGraphicFramePr>
        <xdr:cNvPr id="17" name="Γράφημα 16">
          <a:extLst>
            <a:ext uri="{FF2B5EF4-FFF2-40B4-BE49-F238E27FC236}">
              <a16:creationId xmlns:a16="http://schemas.microsoft.com/office/drawing/2014/main" id="{234D9A44-C4B9-4072-BE89-54285021A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50075</xdr:colOff>
      <xdr:row>83</xdr:row>
      <xdr:rowOff>42602</xdr:rowOff>
    </xdr:from>
    <xdr:to>
      <xdr:col>15</xdr:col>
      <xdr:colOff>154182</xdr:colOff>
      <xdr:row>101</xdr:row>
      <xdr:rowOff>120880</xdr:rowOff>
    </xdr:to>
    <xdr:graphicFrame macro="">
      <xdr:nvGraphicFramePr>
        <xdr:cNvPr id="18" name="Γράφημα 17">
          <a:extLst>
            <a:ext uri="{FF2B5EF4-FFF2-40B4-BE49-F238E27FC236}">
              <a16:creationId xmlns:a16="http://schemas.microsoft.com/office/drawing/2014/main" id="{38BF547C-A5EE-471A-A79F-0844C2752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30</xdr:col>
      <xdr:colOff>190500</xdr:colOff>
      <xdr:row>83</xdr:row>
      <xdr:rowOff>57150</xdr:rowOff>
    </xdr:from>
    <xdr:to>
      <xdr:col>37</xdr:col>
      <xdr:colOff>356259</xdr:colOff>
      <xdr:row>101</xdr:row>
      <xdr:rowOff>120188</xdr:rowOff>
    </xdr:to>
    <xdr:graphicFrame macro="">
      <xdr:nvGraphicFramePr>
        <xdr:cNvPr id="20" name="Γράφημα 19">
          <a:extLst>
            <a:ext uri="{FF2B5EF4-FFF2-40B4-BE49-F238E27FC236}">
              <a16:creationId xmlns:a16="http://schemas.microsoft.com/office/drawing/2014/main" id="{ED01BE38-E7A9-4105-BB3A-1F49B7161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30</xdr:col>
      <xdr:colOff>175260</xdr:colOff>
      <xdr:row>101</xdr:row>
      <xdr:rowOff>121920</xdr:rowOff>
    </xdr:from>
    <xdr:to>
      <xdr:col>37</xdr:col>
      <xdr:colOff>158139</xdr:colOff>
      <xdr:row>120</xdr:row>
      <xdr:rowOff>2078</xdr:rowOff>
    </xdr:to>
    <xdr:graphicFrame macro="">
      <xdr:nvGraphicFramePr>
        <xdr:cNvPr id="21" name="Γράφημα 20">
          <a:extLst>
            <a:ext uri="{FF2B5EF4-FFF2-40B4-BE49-F238E27FC236}">
              <a16:creationId xmlns:a16="http://schemas.microsoft.com/office/drawing/2014/main" id="{19188784-02F0-48F6-BE9D-B558CB141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37</xdr:col>
      <xdr:colOff>498763</xdr:colOff>
      <xdr:row>83</xdr:row>
      <xdr:rowOff>55418</xdr:rowOff>
    </xdr:from>
    <xdr:to>
      <xdr:col>44</xdr:col>
      <xdr:colOff>620979</xdr:colOff>
      <xdr:row>101</xdr:row>
      <xdr:rowOff>128750</xdr:rowOff>
    </xdr:to>
    <xdr:graphicFrame macro="">
      <xdr:nvGraphicFramePr>
        <xdr:cNvPr id="22" name="Γράφημα 21">
          <a:extLst>
            <a:ext uri="{FF2B5EF4-FFF2-40B4-BE49-F238E27FC236}">
              <a16:creationId xmlns:a16="http://schemas.microsoft.com/office/drawing/2014/main" id="{D02A037E-C9DF-492D-A758-329034D87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Γεωργιος Αγγελουσης" id="{D2782271-A691-4DEB-826C-06FDD59E89C5}" userId="S::mc21601@ntua.gr::75cc7f63-6d4d-4b97-a909-6b635d1966d6" providerId="AD"/>
  <person displayName="Γεωργιος Αγγελουσης" id="{461338C5-5194-4BEE-B277-39AB7236B9C9}" userId="S::g_angelousis@ntua.gr::788771f8-d450-4b32-83e9-291a97a460f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 dT="2026-02-18T08:00:51.09" personId="{461338C5-5194-4BEE-B277-39AB7236B9C9}" id="{357F0957-5CA7-4966-B851-379D180BC8A4}">
    <text>* R refers to length measuring from center of rotation (hub) to blade tip.
* NOT blade length measuring from root to tip</text>
  </threadedComment>
  <threadedComment ref="AL5" dT="2026-02-18T08:00:51.09" personId="{461338C5-5194-4BEE-B277-39AB7236B9C9}" id="{DF905C3F-8FA1-4A4C-93A0-5A53BE8EFACF}">
    <text>* R refers to length measuring from center of rotation (hub) to blade tip.
* NOT blade length measuring from root to tip</text>
  </threadedComment>
  <threadedComment ref="BL5" dT="2026-02-18T07:59:20.35" personId="{461338C5-5194-4BEE-B277-39AB7236B9C9}" id="{E401F26D-5442-4118-B81D-408C8D04929A}">
    <text>Hinge length is subtracted, to map 0 with h_hige. 
0-root (blade grip)  will later be modeled as rigid part</text>
  </threadedComment>
  <threadedComment ref="BM6" dT="2026-02-18T07:24:12.54" personId="{461338C5-5194-4BEE-B277-39AB7236B9C9}" id="{9A54D666-3D47-46F5-A05A-59714074D5B4}">
    <text xml:space="preserve">ρΑ: 
[kg/m] = 
[ (N*s^2/m) /m ] = [N*s^2/m^2]
</text>
  </threadedComment>
</ThreadedComments>
</file>

<file path=xl/threadedComments/threadedComment2.xml><?xml version="1.0" encoding="utf-8"?>
<ThreadedComments xmlns="http://schemas.microsoft.com/office/spreadsheetml/2018/threadedcomments" xmlns:x="http://schemas.openxmlformats.org/spreadsheetml/2006/main">
  <threadedComment ref="V2" dT="2026-02-18T17:26:05.05" personId="{461338C5-5194-4BEE-B277-39AB7236B9C9}" id="{E4EC83B1-5F09-4EFD-8FFA-C463937DC071}">
    <text xml:space="preserve">A → E=EA A → Ixx,zz@TC=EIxx,zz E → Ixx,zz@SC → J=Ixx+Izz → G=GJ → GA=G·A </text>
  </threadedComment>
  <threadedComment ref="AJ2" dT="2025-12-18T07:21:38.52" personId="{D2782271-A691-4DEB-826C-06FDD59E89C5}" id="{98DACC4C-27D8-40DD-9B92-F61F87828370}">
    <text xml:space="preserve">Assuming twist angle with traditional sign (so negative around y axis)
</text>
  </threadedComment>
  <threadedComment ref="AJ2" dT="2025-12-18T07:45:37.12" personId="{D2782271-A691-4DEB-826C-06FDD59E89C5}" id="{7E810C5B-BBB3-4E33-A8A2-32F33AD3A3ED}" parentId="{98DACC4C-27D8-40DD-9B92-F61F87828370}">
    <text>Ry(θ) = |  cosθ     sinθ |
              |  - sinθ    cosθ |</text>
  </threadedComment>
  <threadedComment ref="CF2" dT="2026-02-04T11:03:00.86" personId="{461338C5-5194-4BEE-B277-39AB7236B9C9}" id="{0CA022F1-4B52-4AFF-9D6F-AA1B50EFB256}">
    <text>* x,z coordinates involved in coupling terms  are expressed wrt to Blade fixed coordinate system
* Calculating properties of twisted cross sections wrt to untwisted coordinate system</text>
  </threadedComment>
  <threadedComment ref="AA3" dT="2026-02-20T09:44:12.23" personId="{461338C5-5194-4BEE-B277-39AB7236B9C9}" id="{EABE4716-81C5-477D-9BEC-418869DFB7B6}">
    <text xml:space="preserve">There are a few errors in the NASA TM describing the HVAB blades (Overmeyer, A. D., Copp, P. A., and Schaeffler, N. W., “Hover Validation and Acoustic Baseline Blade Set Definition,” NASA TM-2020-5002153, May 2020.) a. In Section 4, the shear center, center of gravity, and tension center are reported relative to the blade coordinate system and NOT relative to the local airfoil coordinate system. b. The units of chord inertia on page iv and in Tables 20, 21, 23 and 24 are lbf s^2, not lbf s^2 in^2 or lbf s^2 in. </text>
  </threadedComment>
  <threadedComment ref="AH3" dT="2026-01-29T23:16:16.17" personId="{D2782271-A691-4DEB-826C-06FDD59E89C5}" id="{AB521802-CC3C-4804-B8AF-5C7B667C8FCB}">
    <text xml:space="preserve">Apply rotation of axes in order to correspond to the Reference Blade Coordinate System (REF BLADE COO)?
1 = yes
0 = no
</text>
  </threadedComment>
  <threadedComment ref="AH3" dT="2026-02-01T20:08:59.43" personId="{D2782271-A691-4DEB-826C-06FDD59E89C5}" id="{FB87B831-2513-42F8-A508-365BA19135B1}" parentId="{AB521802-CC3C-4804-B8AF-5C7B667C8FCB}">
    <text>1: yes --&gt; global coo system
0: no --&gt; local coo system</text>
  </threadedComment>
  <threadedComment ref="BF3" dT="2026-01-29T23:16:16.17" personId="{D2782271-A691-4DEB-826C-06FDD59E89C5}" id="{30B9EECB-B8C0-4488-8167-D5903F39A418}">
    <text xml:space="preserve">Apply rotation of axes in order to correspond to the Reference Blade Coordinate System (REF BLADE COO)?
1 = yes
0 = no
</text>
  </threadedComment>
  <threadedComment ref="BF3" dT="2026-02-01T20:08:59.43" personId="{D2782271-A691-4DEB-826C-06FDD59E89C5}" id="{28C0333F-B652-4098-8C75-BE8A9C660052}" parentId="{30B9EECB-B8C0-4488-8167-D5903F39A418}">
    <text>1: yes --&gt; global coo system
0: no --&gt; local coo system</text>
  </threadedComment>
  <threadedComment ref="E4" dT="2026-02-18T07:24:12.54" personId="{461338C5-5194-4BEE-B277-39AB7236B9C9}" id="{0902CB56-B774-4CB8-93F0-03EE603EE0EC}">
    <text xml:space="preserve">ρΑ: 
[kg/m] = 
[ (N*s^2/m) /m ] = [N*s^2/m^2]
</text>
  </threadedComment>
  <threadedComment ref="AR4" dT="2026-02-18T17:30:58.88" personId="{461338C5-5194-4BEE-B277-39AB7236B9C9}" id="{675B9D49-5BA5-4EF5-9BE1-824CA9C74ACB}">
    <text>SC : shear center</text>
  </threadedComment>
  <threadedComment ref="AU4" dT="2026-02-18T17:48:33.15" personId="{461338C5-5194-4BEE-B277-39AB7236B9C9}" id="{B54BFD45-B43F-4D20-B3EC-3727FD99AD94}">
    <text>CG: center of gravity</text>
  </threadedComment>
  <threadedComment ref="AV4" dT="2026-02-18T17:48:33.15" personId="{461338C5-5194-4BEE-B277-39AB7236B9C9}" id="{98810EDF-9342-41DA-A5E2-D2E722705569}">
    <text>CG: center of gravity</text>
  </threadedComment>
  <threadedComment ref="AW4" dT="2026-02-18T17:48:33.15" personId="{461338C5-5194-4BEE-B277-39AB7236B9C9}" id="{7A1CDE47-25E0-4B7E-957D-195B51EBA428}">
    <text>CG: center of gravity</text>
  </threadedComment>
  <threadedComment ref="AX4" dT="2026-02-18T17:31:50.11" personId="{461338C5-5194-4BEE-B277-39AB7236B9C9}" id="{2490E9D3-B2CC-46A0-9880-71D93E55D37F}">
    <text>TC: tension center</text>
  </threadedComment>
  <threadedComment ref="AY4" dT="2026-02-18T17:31:50.11" personId="{461338C5-5194-4BEE-B277-39AB7236B9C9}" id="{6C29599B-90CF-4201-A857-10CD16E839EC}">
    <text>TC: tension center</text>
  </threadedComment>
  <threadedComment ref="AZ4" dT="2026-02-18T17:31:50.11" personId="{461338C5-5194-4BEE-B277-39AB7236B9C9}" id="{7564C0AE-A8AA-4114-8033-DD7D5FF409E2}">
    <text>TC: tension center</text>
  </threadedComment>
  <threadedComment ref="CF4" dT="2026-02-05T14:33:34.43" personId="{461338C5-5194-4BEE-B277-39AB7236B9C9}" id="{4D4B6678-4A97-44D9-A990-8C0CD6549021}">
    <text xml:space="preserve">
</text>
  </threadedComment>
  <threadedComment ref="CK4" dT="2025-12-17T16:27:40.42" personId="{D2782271-A691-4DEB-826C-06FDD59E89C5}" id="{45DD94FF-306F-41C1-A5BA-6BD763B8CCD0}">
    <text>Based on curved length r [m], 
in order to determine the structural properties on the selected blade grid positions</text>
  </threadedComment>
  <threadedComment ref="D5" dT="2026-02-18T07:59:20.35" personId="{461338C5-5194-4BEE-B277-39AB7236B9C9}" id="{BCFEF4EE-F9CB-476F-A4F3-06FAE3EA0392}">
    <text>Hinge length is subtracted, to map 0 with h_hige. 
0-root (blade grip)  will later be modeled as rigid part</text>
  </threadedComment>
  <threadedComment ref="AR5" dT="2026-02-19T06:24:25.96" personId="{461338C5-5194-4BEE-B277-39AB7236B9C9}" id="{5AEC1832-750F-487C-A802-E71138B8D8D2}">
    <text>Assume that J torsion constant.
No need for Steiner</text>
  </threadedComment>
  <threadedComment ref="AU5" dT="2026-02-18T17:36:07.08" personId="{461338C5-5194-4BEE-B277-39AB7236B9C9}" id="{04324477-1D75-4195-8001-1D14D1391C35}">
    <text>Flap inertia</text>
  </threadedComment>
  <threadedComment ref="AV5" dT="2026-02-18T17:36:21.33" personId="{461338C5-5194-4BEE-B277-39AB7236B9C9}" id="{971D41B4-FDB9-4AAB-96F2-4996762954B6}">
    <text>Edge inertia</text>
  </threadedComment>
  <threadedComment ref="AX5" dT="2026-02-05T09:36:05.98" personId="{461338C5-5194-4BEE-B277-39AB7236B9C9}" id="{94750C88-427F-45C3-8F87-0BECE364532B}">
    <text xml:space="preserve">See inertias rationale (columns DS-DU)
</text>
  </threadedComment>
  <threadedComment ref="AY5" dT="2026-02-05T09:36:12.26" personId="{461338C5-5194-4BEE-B277-39AB7236B9C9}" id="{DA00541B-5E2D-47A6-AEB2-BC9566B7EF00}">
    <text>See inertias rationale (columns DS-DU)</text>
  </threadedComment>
  <threadedComment ref="AZ5" dT="2026-02-05T09:37:04.38" personId="{461338C5-5194-4BEE-B277-39AB7236B9C9}" id="{001B3D60-482E-48F0-A4DF-1D8B74FDC381}">
    <text xml:space="preserve">See inertias rationale (columns DS-DU)
EI_xz = + $ E * x * z  dA
</text>
  </threadedComment>
  <threadedComment ref="BA5" dT="2026-02-05T06:29:42.39" personId="{461338C5-5194-4BEE-B277-39AB7236B9C9}" id="{0F1D05A9-3A9A-4B65-AD33-042C584FF651}">
    <text>Tension - flap bending coupling term</text>
  </threadedComment>
  <threadedComment ref="BB5" dT="2026-02-05T06:31:57.23" personId="{461338C5-5194-4BEE-B277-39AB7236B9C9}" id="{CF725CEE-B210-4B06-B588-5B2582F1F708}">
    <text>Tension - edge bending coupling term</text>
  </threadedComment>
  <threadedComment ref="BC5" dT="2026-02-05T06:32:34.39" personId="{461338C5-5194-4BEE-B277-39AB7236B9C9}" id="{DF82F761-754D-4842-A282-1DCF57CC6D19}">
    <text>Shear edge - torsion coupling term</text>
  </threadedComment>
  <threadedComment ref="BD5" dT="2026-02-05T06:32:40.88" personId="{461338C5-5194-4BEE-B277-39AB7236B9C9}" id="{454483D8-EA2E-4FAF-BB55-34B7FFCA614D}">
    <text>Shear flap - torsion coupling term</text>
  </threadedComment>
  <threadedComment ref="BF5" dT="2026-02-05T06:47:34.29" personId="{461338C5-5194-4BEE-B277-39AB7236B9C9}" id="{C9A4E03F-FE01-4750-B212-0AB5F607BCA5}">
    <text xml:space="preserve">* Blade fixed coo: 
Rotation of axes by (-) twist angle, passive rotation 
* Note:
**positive sign of twist angle around Y axis (right hand rule - Z axis rotates toward X axis)
</text>
  </threadedComment>
  <threadedComment ref="BI5" dT="2025-12-18T09:42:35.32" personId="{D2782271-A691-4DEB-826C-06FDD59E89C5}" id="{8FAC3D2E-595A-4256-885B-C0186D33B4AC}">
    <text xml:space="preserve">* curved length of pitch axis 
* NOT span =  projection of curved length on spanwise direction
</text>
  </threadedComment>
  <threadedComment ref="BP5" dT="2026-02-05T06:59:53.60" personId="{461338C5-5194-4BEE-B277-39AB7236B9C9}" id="{E0A13290-45E4-4349-A01F-89D76059FF49}">
    <text>Rotation of axes (passive rotation) about Y axis:
Ry = |  c    0   - s   |    
        |  0    1     0   |      s : sinθ
        |  s     0     c   |     c: cosθ
[ I ] =  | Ixx    0    -Ixz |
           |   0     Ip    0   |
           | -Ixz   0    Izz  |
[ I ]’ = Ry * [ I ] * Ry^T</text>
  </threadedComment>
  <threadedComment ref="BQ5" dT="2026-02-05T07:05:57.06" personId="{461338C5-5194-4BEE-B277-39AB7236B9C9}" id="{3349A3DA-C368-4732-85CF-012D7ACEF394}">
    <text xml:space="preserve">Rotation of axes (passive rotation) about Y axis:
Ry = |  c    0   - s   |    
        |  0    1     0   |      s : sinθ
        |  s     0     c   |     c: cosθ
[ I ] =  | Ixx    0    -Ixz |
           |   0     Ip    0   |
           | -Ixz   0    Izz  |
[ I ]’ = Ry * [ I ] * Ry^T
</text>
  </threadedComment>
  <threadedComment ref="BR5" dT="2026-02-05T07:06:49.68" personId="{461338C5-5194-4BEE-B277-39AB7236B9C9}" id="{EC7A8FE4-3464-451A-BF34-721293FBC09A}">
    <text xml:space="preserve">Rotation of axes  about Y axis:
[ I ]’ = Ry * [ I ] * Ry^T
I_xz = + $ x * z dA
</text>
  </threadedComment>
  <threadedComment ref="BT5" dT="2026-02-05T07:10:31.50" personId="{461338C5-5194-4BEE-B277-39AB7236B9C9}" id="{597BED57-08C5-44CB-A48A-B3AA86E090F9}">
    <text>K:  stiffness matrix
T:  rotation matrix
T = | Ry    0   |
       | 0     Ry  |
K’ = T * K * T^T
- EAx'  = - EAx * cosθ  -  EAz * sinθ
+ EAx' =  EAx * cosθ  +  EAz * sinθ
Identical result with “Direct method” (see column  GA), 
since same formula</text>
  </threadedComment>
  <threadedComment ref="BU5" dT="2026-02-05T08:57:11.38" personId="{461338C5-5194-4BEE-B277-39AB7236B9C9}" id="{0F5DEA01-A8EB-4CC8-AFCA-D3428879A977}">
    <text>K:  stiffness matrix
T:  rotation matrix
T = | Ry    0   |
       | 0     Ry  |
K’ = T * K * T^T
EAz' = - EAx * sinθ  +  EAz * cosθ
Identical result with “Direct method” (see column  GB), 
since same formula</text>
  </threadedComment>
  <threadedComment ref="BV5" dT="2026-02-05T09:36:05.98" personId="{461338C5-5194-4BEE-B277-39AB7236B9C9}" id="{AD620CA4-4AEE-4B34-A7BA-9B747DEC7CD2}">
    <text xml:space="preserve">See inertias rationale (columns DS-DU)
</text>
  </threadedComment>
  <threadedComment ref="BW5" dT="2026-02-05T09:36:12.26" personId="{461338C5-5194-4BEE-B277-39AB7236B9C9}" id="{1A9A5DF5-5F75-4074-AF9C-903BBA7E9CDE}">
    <text>See inertias rationale (columns DS-DU)</text>
  </threadedComment>
  <threadedComment ref="BX5" dT="2026-02-05T09:37:04.38" personId="{461338C5-5194-4BEE-B277-39AB7236B9C9}" id="{71850A08-E5F5-4072-9561-15535161AF61}">
    <text xml:space="preserve">See inertias rationale (columns DS-DU)
EI_xz = + $ E * x * z  dA
</text>
  </threadedComment>
  <threadedComment ref="BZ5" dT="2026-02-05T09:38:46.97" personId="{461338C5-5194-4BEE-B277-39AB7236B9C9}" id="{CB770ECB-C835-4E70-881E-382FA1446F33}">
    <text xml:space="preserve">Derived from stiffness matrix K rotation
Ry = |  c     - s   |     s : sinθ
        |  s        c   |     c: cosθ
[GA] = | GAx     GAxz |
            | GAxz     GAz  |
[GA’] =  Ry *  [GA] * Ry^T
</text>
  </threadedComment>
  <threadedComment ref="CA5" dT="2026-02-05T10:04:28.08" personId="{461338C5-5194-4BEE-B277-39AB7236B9C9}" id="{FB02CBD2-9316-4FD4-AC56-105572A352A4}">
    <text xml:space="preserve">Derived from stiffness matrix K rotation
Ry = |  c     - s   |     s : sinθ
        |  s        c   |     c: cosθ
[GA] = | GAx     GAxz |
            | GAxz     GAz  |
[GA’] =  Ry *  [GA] * Ry^T
</text>
  </threadedComment>
  <threadedComment ref="CB5" dT="2026-02-05T09:05:04.85" personId="{461338C5-5194-4BEE-B277-39AB7236B9C9}" id="{63222A6E-FE3D-4DA9-BEE6-4F5718C950F5}">
    <text xml:space="preserve">K:  stiffness matrix
T:  rotation matrix
T = | Ry    0   |
       | 0     Ry  |
K’ = T * K * T^T
GAxX' = GAxX * cosθ  +  GAzZ * sinθ
Similar result with “Direct method” (see column  GC), 
due to differnce in formulas. 
Here both k_x, k_z shear factors are used. 
</text>
  </threadedComment>
  <threadedComment ref="CC5" dT="2026-02-05T09:06:44.67" personId="{461338C5-5194-4BEE-B277-39AB7236B9C9}" id="{5F585CA7-B339-401A-967D-FB3D4CEC149B}">
    <text xml:space="preserve">K:  stiffness matrix
T:  rotation matrix
T = | Ry    0   |
       | 0     Ry  |
K’ = T * K * T^T
- GAzZ' = GAxX * sinθ  -  GAzZ * cosθ
+ GAzZ' = - GAxX * sinθ  +  GAzZ * cosθ
Similar result with “Direct method” (see column  GD), 
due to difference in formula.
Here both k_x, k_z shear factors are used. 
</text>
  </threadedComment>
  <threadedComment ref="CF5" dT="2026-02-05T07:10:31.50" personId="{461338C5-5194-4BEE-B277-39AB7236B9C9}" id="{ACD12C2D-C27C-4DDB-B5D9-5B602AC72088}">
    <text>EAx'  = EA * z’ = EA * ( x*sinθ + z *cosθ )
Identical result with Methods 1 and 2</text>
  </threadedComment>
  <threadedComment ref="CG5" dT="2026-02-05T08:57:11.38" personId="{461338C5-5194-4BEE-B277-39AB7236B9C9}" id="{B2D8F1F5-7E09-460D-A6D9-7416F414CC82}">
    <text xml:space="preserve">EAz'  = EA * x’ = EA * ( x*cosθ - z *sinθ )
Identical result with Methods 1 and 2
</text>
  </threadedComment>
  <threadedComment ref="CH5" dT="2026-02-05T15:03:10.28" personId="{461338C5-5194-4BEE-B277-39AB7236B9C9}" id="{1D6B8AA6-0AEF-4F68-9702-8FAE0709EA17}">
    <text xml:space="preserve">GAxX'  = GAx * z’ = k_x * GA * ( x*sinθ + z *cosθ )
Similar - NOT identical result with Methods 1 and 2, since ONLY shear factor k_x appears in this formula
</text>
  </threadedComment>
  <threadedComment ref="CI5" dT="2026-02-05T15:04:17.26" personId="{461338C5-5194-4BEE-B277-39AB7236B9C9}" id="{14B6EB17-F503-4EB3-AEB0-CE38F057D76D}">
    <text>GAzZ'  = GAz * x’ = k_z * GA * ( x*cosθ - z *sinθ) 
Similar - NOT identical result with Methods 1 and 2, since ONLY shear factor k_z appears in this formula</text>
  </threadedComment>
  <threadedComment ref="Z27" dT="2026-02-19T06:21:07.59" personId="{461338C5-5194-4BEE-B277-39AB7236B9C9}" id="{E8F6AD73-FA5D-412A-9B02-0C691E0DD266}">
    <text>X offset due to sweep</text>
  </threadedComment>
  <threadedComment ref="AP27" dT="2026-02-19T06:37:51.88" personId="{461338C5-5194-4BEE-B277-39AB7236B9C9}" id="{01BA0413-7847-4D2E-B49C-A64F51D91771}">
    <text>See Fig.2 of NASA-HVAB Set Definition report</text>
  </threadedComment>
  <threadedComment ref="Z28" dT="2026-02-19T06:21:21.63" personId="{461338C5-5194-4BEE-B277-39AB7236B9C9}" id="{7AB17822-FBF2-443C-9B5E-DD402170F026}">
    <text>X offset due to sweep</text>
  </threadedComment>
  <threadedComment ref="Z29" dT="2026-02-19T06:21:28.60" personId="{461338C5-5194-4BEE-B277-39AB7236B9C9}" id="{8B705A67-3383-4156-97E9-70CB43A66ED7}">
    <text>X offset due to sweep</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rotorcraft.arc.nasa.gov/HVAB/HVABReleasedData_v2/General_Information/Data_Use_Recommendations_v2.pdf" TargetMode="External"/><Relationship Id="rId1" Type="http://schemas.openxmlformats.org/officeDocument/2006/relationships/hyperlink" Target="https://www.aiaa-hpw.org/hvab-rotor"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36C86-473B-4DD4-85D0-735D99F0FBF0}">
  <dimension ref="B2:G8"/>
  <sheetViews>
    <sheetView zoomScaleNormal="100" workbookViewId="0">
      <selection activeCell="D8" sqref="D8"/>
    </sheetView>
  </sheetViews>
  <sheetFormatPr defaultRowHeight="14.4"/>
  <cols>
    <col min="2" max="2" width="22.44140625" bestFit="1" customWidth="1"/>
    <col min="3" max="3" width="55.88671875" bestFit="1" customWidth="1"/>
    <col min="4" max="4" width="68.44140625" bestFit="1" customWidth="1"/>
    <col min="5" max="5" width="3.44140625" customWidth="1"/>
    <col min="6" max="6" width="12.6640625" bestFit="1" customWidth="1"/>
    <col min="7" max="7" width="20.88671875" bestFit="1" customWidth="1"/>
  </cols>
  <sheetData>
    <row r="2" spans="2:7">
      <c r="B2" s="105" t="s">
        <v>161</v>
      </c>
      <c r="C2" s="105" t="s">
        <v>163</v>
      </c>
      <c r="D2" s="105" t="s">
        <v>162</v>
      </c>
      <c r="F2" s="302" t="s">
        <v>165</v>
      </c>
      <c r="G2" s="302"/>
    </row>
    <row r="3" spans="2:7">
      <c r="B3" s="108" t="s">
        <v>214</v>
      </c>
      <c r="C3" s="104" t="s">
        <v>173</v>
      </c>
      <c r="D3" s="104" t="s">
        <v>174</v>
      </c>
      <c r="F3" s="104" t="s">
        <v>63</v>
      </c>
      <c r="G3" s="104" t="s">
        <v>166</v>
      </c>
    </row>
    <row r="4" spans="2:7">
      <c r="B4" s="108" t="s">
        <v>290</v>
      </c>
      <c r="C4" s="109" t="s">
        <v>175</v>
      </c>
      <c r="D4" s="104" t="s">
        <v>176</v>
      </c>
      <c r="F4" s="106">
        <v>2</v>
      </c>
      <c r="G4" s="104" t="s">
        <v>170</v>
      </c>
    </row>
    <row r="5" spans="2:7">
      <c r="B5" s="108" t="s">
        <v>178</v>
      </c>
      <c r="C5" s="109" t="s">
        <v>177</v>
      </c>
      <c r="D5" s="104" t="s">
        <v>291</v>
      </c>
      <c r="F5" s="104" t="s">
        <v>169</v>
      </c>
      <c r="G5" s="104" t="s">
        <v>82</v>
      </c>
    </row>
    <row r="6" spans="2:7">
      <c r="B6" s="108" t="s">
        <v>186</v>
      </c>
      <c r="C6" s="104" t="s">
        <v>187</v>
      </c>
      <c r="D6" s="104" t="s">
        <v>171</v>
      </c>
      <c r="F6" s="104" t="s">
        <v>179</v>
      </c>
      <c r="G6" s="104" t="s">
        <v>180</v>
      </c>
    </row>
    <row r="7" spans="2:7">
      <c r="B7" s="108" t="s">
        <v>164</v>
      </c>
      <c r="C7" s="104" t="s">
        <v>181</v>
      </c>
      <c r="D7" s="108" t="s">
        <v>182</v>
      </c>
      <c r="F7" s="104" t="s">
        <v>167</v>
      </c>
      <c r="G7" s="104" t="s">
        <v>168</v>
      </c>
    </row>
    <row r="8" spans="2:7">
      <c r="B8" s="108" t="s">
        <v>183</v>
      </c>
      <c r="C8" s="104" t="s">
        <v>184</v>
      </c>
      <c r="D8" s="104" t="s">
        <v>185</v>
      </c>
    </row>
  </sheetData>
  <mergeCells count="1">
    <mergeCell ref="F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61"/>
  <sheetViews>
    <sheetView topLeftCell="AI1" zoomScale="40" zoomScaleNormal="40" workbookViewId="0">
      <selection activeCell="C2" sqref="C2:S2"/>
    </sheetView>
  </sheetViews>
  <sheetFormatPr defaultRowHeight="14.4"/>
  <cols>
    <col min="1" max="1" width="10" bestFit="1" customWidth="1"/>
    <col min="2" max="2" width="11" bestFit="1" customWidth="1"/>
    <col min="3" max="3" width="10" bestFit="1" customWidth="1"/>
    <col min="4" max="4" width="12.33203125" bestFit="1" customWidth="1"/>
    <col min="5" max="6" width="10.44140625" bestFit="1" customWidth="1"/>
    <col min="7" max="7" width="7.77734375" bestFit="1" customWidth="1"/>
    <col min="8" max="8" width="6.77734375" bestFit="1" customWidth="1"/>
    <col min="9" max="12" width="7.77734375" bestFit="1" customWidth="1"/>
    <col min="13" max="14" width="10.44140625" bestFit="1" customWidth="1"/>
    <col min="15" max="15" width="11.44140625" bestFit="1" customWidth="1"/>
    <col min="16" max="17" width="10.21875" bestFit="1" customWidth="1"/>
    <col min="18" max="18" width="11.21875" bestFit="1" customWidth="1"/>
    <col min="19" max="19" width="5.33203125" customWidth="1"/>
    <col min="21" max="21" width="10.44140625" bestFit="1" customWidth="1"/>
    <col min="22" max="22" width="10.109375" bestFit="1" customWidth="1"/>
    <col min="23" max="23" width="10.5546875" bestFit="1" customWidth="1"/>
    <col min="31" max="31" width="10" bestFit="1" customWidth="1"/>
    <col min="32" max="32" width="8.88671875" customWidth="1"/>
    <col min="38" max="39" width="10.44140625" customWidth="1"/>
    <col min="40" max="40" width="11.6640625" customWidth="1"/>
    <col min="41" max="41" width="11.33203125" customWidth="1"/>
    <col min="42" max="42" width="14.33203125" bestFit="1" customWidth="1"/>
    <col min="43" max="43" width="10.44140625" customWidth="1"/>
    <col min="44" max="45" width="15.44140625" bestFit="1" customWidth="1"/>
    <col min="46" max="46" width="16.21875" bestFit="1" customWidth="1"/>
    <col min="47" max="47" width="16.5546875" bestFit="1" customWidth="1"/>
    <col min="48" max="49" width="15.44140625" bestFit="1" customWidth="1"/>
    <col min="50" max="50" width="15.6640625" bestFit="1" customWidth="1"/>
    <col min="51" max="52" width="13.44140625" bestFit="1" customWidth="1"/>
    <col min="53" max="53" width="15.44140625" bestFit="1" customWidth="1"/>
    <col min="54" max="54" width="16.109375" bestFit="1" customWidth="1"/>
    <col min="55" max="55" width="18.21875" bestFit="1" customWidth="1"/>
    <col min="56" max="57" width="18.21875" customWidth="1"/>
    <col min="58" max="58" width="16.5546875" bestFit="1" customWidth="1"/>
    <col min="59" max="59" width="15" bestFit="1" customWidth="1"/>
    <col min="60" max="60" width="14.88671875" bestFit="1" customWidth="1"/>
    <col min="61" max="63" width="14.88671875" customWidth="1"/>
    <col min="65" max="65" width="12.33203125" bestFit="1" customWidth="1"/>
    <col min="66" max="66" width="12" customWidth="1"/>
    <col min="67" max="67" width="10.88671875" customWidth="1"/>
    <col min="68" max="69" width="13.6640625" bestFit="1" customWidth="1"/>
    <col min="70" max="70" width="15.109375" bestFit="1" customWidth="1"/>
    <col min="71" max="72" width="14" bestFit="1" customWidth="1"/>
    <col min="73" max="73" width="11.44140625" bestFit="1" customWidth="1"/>
    <col min="74" max="74" width="14.21875" bestFit="1" customWidth="1"/>
    <col min="75" max="77" width="11.44140625" bestFit="1" customWidth="1"/>
    <col min="78" max="78" width="11.5546875" bestFit="1" customWidth="1"/>
    <col min="79" max="82" width="11.44140625" bestFit="1" customWidth="1"/>
    <col min="83" max="83" width="12.88671875" bestFit="1" customWidth="1"/>
    <col min="84" max="84" width="11.44140625" bestFit="1" customWidth="1"/>
    <col min="85" max="85" width="14.21875" bestFit="1" customWidth="1"/>
    <col min="86" max="86" width="15.6640625" bestFit="1" customWidth="1"/>
    <col min="87" max="88" width="11.44140625" bestFit="1" customWidth="1"/>
    <col min="89" max="89" width="13.21875" bestFit="1" customWidth="1"/>
    <col min="90" max="92" width="11.44140625" bestFit="1" customWidth="1"/>
    <col min="93" max="93" width="12" bestFit="1" customWidth="1"/>
    <col min="98" max="98" width="14.6640625" bestFit="1" customWidth="1"/>
    <col min="102" max="102" width="13.109375" bestFit="1" customWidth="1"/>
    <col min="107" max="107" width="12" bestFit="1" customWidth="1"/>
    <col min="109" max="109" width="12.88671875" bestFit="1" customWidth="1"/>
    <col min="110" max="110" width="12.6640625" bestFit="1" customWidth="1"/>
    <col min="113" max="113" width="11.33203125" bestFit="1" customWidth="1"/>
    <col min="117" max="119" width="15.109375" bestFit="1" customWidth="1"/>
  </cols>
  <sheetData>
    <row r="1" spans="1:80">
      <c r="B1" s="262" t="s">
        <v>214</v>
      </c>
      <c r="C1" s="263"/>
      <c r="D1" s="263"/>
      <c r="E1" s="263"/>
      <c r="F1" s="263"/>
      <c r="G1" s="263"/>
      <c r="H1" s="263"/>
      <c r="I1" s="263"/>
      <c r="J1" s="263"/>
      <c r="K1" s="263"/>
      <c r="L1" s="263"/>
      <c r="M1" s="263"/>
      <c r="N1" s="263"/>
      <c r="O1" s="263"/>
      <c r="P1" s="263"/>
      <c r="Q1" s="263"/>
      <c r="R1" s="263"/>
      <c r="S1" s="264"/>
      <c r="V1" s="262" t="s">
        <v>214</v>
      </c>
      <c r="W1" s="263"/>
      <c r="X1" s="263"/>
      <c r="Y1" s="263"/>
      <c r="Z1" s="263"/>
      <c r="AA1" s="263"/>
      <c r="AB1" s="263"/>
      <c r="AC1" s="264"/>
      <c r="AE1" s="262" t="s">
        <v>214</v>
      </c>
      <c r="AF1" s="263"/>
      <c r="AG1" s="263"/>
      <c r="AH1" s="263"/>
      <c r="AI1" s="263"/>
      <c r="AJ1" s="264"/>
      <c r="AL1" s="262" t="s">
        <v>214</v>
      </c>
      <c r="AM1" s="263"/>
      <c r="AN1" s="263"/>
      <c r="AO1" s="263"/>
      <c r="AP1" s="263"/>
      <c r="AQ1" s="263"/>
      <c r="AR1" s="263"/>
      <c r="AS1" s="263"/>
      <c r="AT1" s="263"/>
      <c r="AU1" s="263"/>
      <c r="AV1" s="263"/>
      <c r="AW1" s="263"/>
      <c r="AX1" s="263"/>
      <c r="AY1" s="263"/>
      <c r="AZ1" s="263"/>
      <c r="BA1" s="263"/>
      <c r="BB1" s="263"/>
      <c r="BC1" s="264"/>
      <c r="BE1" s="307" t="s">
        <v>205</v>
      </c>
      <c r="BF1" s="307"/>
      <c r="BG1" s="307"/>
      <c r="BI1" s="262" t="s">
        <v>214</v>
      </c>
      <c r="BJ1" s="263"/>
      <c r="BK1" s="263"/>
      <c r="BL1" s="263"/>
      <c r="BM1" s="263"/>
      <c r="BN1" s="263"/>
      <c r="BO1" s="263"/>
      <c r="BP1" s="263"/>
      <c r="BQ1" s="263"/>
      <c r="BR1" s="263"/>
      <c r="BS1" s="263"/>
      <c r="BT1" s="263"/>
      <c r="BU1" s="263"/>
      <c r="BV1" s="263"/>
      <c r="BW1" s="263"/>
      <c r="BX1" s="263"/>
      <c r="BY1" s="263"/>
      <c r="BZ1" s="263"/>
      <c r="CA1" s="263"/>
      <c r="CB1" s="264"/>
    </row>
    <row r="2" spans="1:80">
      <c r="B2" s="2" t="s">
        <v>1</v>
      </c>
      <c r="C2" s="285" t="s">
        <v>215</v>
      </c>
      <c r="D2" s="285"/>
      <c r="E2" s="285"/>
      <c r="F2" s="285"/>
      <c r="G2" s="285"/>
      <c r="H2" s="285"/>
      <c r="I2" s="285"/>
      <c r="J2" s="285"/>
      <c r="K2" s="285"/>
      <c r="L2" s="285"/>
      <c r="M2" s="285"/>
      <c r="N2" s="285"/>
      <c r="O2" s="285"/>
      <c r="P2" s="285"/>
      <c r="Q2" s="285"/>
      <c r="R2" s="285"/>
      <c r="S2" s="286"/>
      <c r="V2" s="2" t="s">
        <v>1</v>
      </c>
      <c r="W2" s="305" t="s">
        <v>215</v>
      </c>
      <c r="X2" s="305"/>
      <c r="Y2" s="305"/>
      <c r="Z2" s="305"/>
      <c r="AA2" s="305"/>
      <c r="AB2" s="305"/>
      <c r="AC2" s="306"/>
      <c r="AE2" s="2"/>
      <c r="AJ2" s="3"/>
      <c r="AL2" s="2" t="s">
        <v>1</v>
      </c>
      <c r="AM2" s="14" t="s">
        <v>215</v>
      </c>
      <c r="AN2" s="14"/>
      <c r="AO2" s="14"/>
      <c r="AP2" s="14"/>
      <c r="AQ2" s="14"/>
      <c r="AR2" s="14"/>
      <c r="AS2" s="14"/>
      <c r="AT2" s="14"/>
      <c r="AU2" s="14"/>
      <c r="AV2" s="14"/>
      <c r="AW2" s="14"/>
      <c r="AX2" s="14"/>
      <c r="AY2" s="14"/>
      <c r="AZ2" s="14"/>
      <c r="BA2" s="14"/>
      <c r="BB2" s="14"/>
      <c r="BC2" s="134"/>
      <c r="BE2" t="s">
        <v>98</v>
      </c>
      <c r="BF2" s="133">
        <v>66.5</v>
      </c>
      <c r="BG2" s="130" t="s">
        <v>213</v>
      </c>
      <c r="BI2" s="2" t="s">
        <v>1</v>
      </c>
      <c r="BJ2" s="14"/>
      <c r="BK2" s="14"/>
      <c r="BL2" s="14"/>
      <c r="BM2" s="14"/>
      <c r="BN2" s="14"/>
      <c r="BQ2" s="14"/>
      <c r="BR2" s="14"/>
      <c r="BS2" s="14"/>
      <c r="BT2" s="14"/>
      <c r="BU2" s="14"/>
      <c r="BV2" s="14"/>
      <c r="BW2" s="14"/>
      <c r="BX2" s="14"/>
      <c r="BY2" s="14"/>
      <c r="BZ2" s="14"/>
      <c r="CA2" s="14"/>
      <c r="CB2" s="134"/>
    </row>
    <row r="3" spans="1:80">
      <c r="B3" s="2" t="s">
        <v>0</v>
      </c>
      <c r="C3" s="135" t="s">
        <v>7</v>
      </c>
      <c r="D3" t="s">
        <v>6</v>
      </c>
      <c r="E3" s="303" t="s">
        <v>2</v>
      </c>
      <c r="F3" s="303"/>
      <c r="G3" s="303"/>
      <c r="H3" s="303"/>
      <c r="I3" s="303"/>
      <c r="J3" s="303"/>
      <c r="K3" s="303"/>
      <c r="L3" s="303"/>
      <c r="M3" s="303"/>
      <c r="N3" s="303"/>
      <c r="O3" s="303"/>
      <c r="P3" s="303"/>
      <c r="Q3" s="303"/>
      <c r="R3" s="303"/>
      <c r="S3" s="304"/>
      <c r="V3" s="2" t="s">
        <v>0</v>
      </c>
      <c r="W3" s="135" t="s">
        <v>7</v>
      </c>
      <c r="X3" t="s">
        <v>6</v>
      </c>
      <c r="Y3" t="s">
        <v>235</v>
      </c>
      <c r="AC3" s="3"/>
      <c r="AE3" s="2" t="s">
        <v>0</v>
      </c>
      <c r="AF3" s="175" t="s">
        <v>5</v>
      </c>
      <c r="AJ3" s="3"/>
      <c r="AL3" s="2" t="s">
        <v>0</v>
      </c>
      <c r="AM3" s="135" t="s">
        <v>125</v>
      </c>
      <c r="AN3" t="s">
        <v>6</v>
      </c>
      <c r="AO3" t="s">
        <v>2</v>
      </c>
      <c r="BC3" s="3"/>
      <c r="BE3" t="s">
        <v>209</v>
      </c>
      <c r="BF3" s="133">
        <v>3.5</v>
      </c>
      <c r="BG3" s="130" t="s">
        <v>213</v>
      </c>
      <c r="BI3" s="2" t="s">
        <v>0</v>
      </c>
      <c r="BJ3" s="175" t="s">
        <v>5</v>
      </c>
      <c r="BK3" s="175"/>
      <c r="BL3" t="s">
        <v>6</v>
      </c>
      <c r="BM3" t="s">
        <v>216</v>
      </c>
      <c r="CB3" s="3"/>
    </row>
    <row r="4" spans="1:80">
      <c r="B4" s="2"/>
      <c r="S4" s="3"/>
      <c r="V4" s="2"/>
      <c r="AC4" s="3"/>
      <c r="AE4" s="2"/>
      <c r="AJ4" s="3"/>
      <c r="AL4" s="2"/>
      <c r="AM4" s="175" t="s">
        <v>5</v>
      </c>
      <c r="BC4" s="3"/>
      <c r="BE4" t="s">
        <v>212</v>
      </c>
      <c r="BF4" s="133">
        <v>5.8</v>
      </c>
      <c r="BG4" s="130" t="s">
        <v>213</v>
      </c>
      <c r="BI4" s="2" t="s">
        <v>99</v>
      </c>
      <c r="BJ4" s="197" t="s">
        <v>214</v>
      </c>
      <c r="BK4" s="197" t="s">
        <v>237</v>
      </c>
      <c r="BL4" s="197" t="s">
        <v>194</v>
      </c>
      <c r="BM4" s="197" t="s">
        <v>217</v>
      </c>
      <c r="BN4" s="197" t="s">
        <v>195</v>
      </c>
      <c r="BO4" s="197" t="s">
        <v>196</v>
      </c>
      <c r="BP4" s="197" t="s">
        <v>194</v>
      </c>
      <c r="BQ4" s="197" t="s">
        <v>194</v>
      </c>
      <c r="BR4" s="197" t="s">
        <v>194</v>
      </c>
      <c r="BS4" s="197" t="s">
        <v>194</v>
      </c>
      <c r="BT4" s="197" t="s">
        <v>194</v>
      </c>
      <c r="BU4" s="197" t="s">
        <v>194</v>
      </c>
      <c r="BV4" s="197" t="s">
        <v>196</v>
      </c>
      <c r="BW4" s="197" t="s">
        <v>196</v>
      </c>
      <c r="BX4" s="197" t="s">
        <v>196</v>
      </c>
      <c r="BY4" s="197" t="s">
        <v>198</v>
      </c>
      <c r="BZ4" s="197" t="s">
        <v>198</v>
      </c>
      <c r="CA4" s="197" t="s">
        <v>198</v>
      </c>
      <c r="CB4" s="3"/>
    </row>
    <row r="5" spans="1:80">
      <c r="B5" s="107" t="s">
        <v>97</v>
      </c>
      <c r="C5" s="45" t="s">
        <v>98</v>
      </c>
      <c r="D5" s="45" t="s">
        <v>124</v>
      </c>
      <c r="E5" s="45" t="s">
        <v>8</v>
      </c>
      <c r="F5" s="45" t="s">
        <v>188</v>
      </c>
      <c r="G5" s="45" t="s">
        <v>197</v>
      </c>
      <c r="H5" s="45" t="s">
        <v>191</v>
      </c>
      <c r="I5" s="45" t="s">
        <v>192</v>
      </c>
      <c r="J5" s="45" t="s">
        <v>193</v>
      </c>
      <c r="K5" s="45" t="s">
        <v>189</v>
      </c>
      <c r="L5" s="45" t="s">
        <v>190</v>
      </c>
      <c r="M5" s="45" t="s">
        <v>199</v>
      </c>
      <c r="N5" s="45" t="s">
        <v>200</v>
      </c>
      <c r="O5" s="45" t="s">
        <v>201</v>
      </c>
      <c r="P5" s="45" t="s">
        <v>202</v>
      </c>
      <c r="Q5" s="45" t="s">
        <v>203</v>
      </c>
      <c r="R5" s="45" t="s">
        <v>204</v>
      </c>
      <c r="S5" s="3"/>
      <c r="U5" s="45" t="s">
        <v>98</v>
      </c>
      <c r="V5" s="2"/>
      <c r="W5" s="45" t="s">
        <v>97</v>
      </c>
      <c r="X5" s="45" t="s">
        <v>224</v>
      </c>
      <c r="Y5" s="45" t="s">
        <v>225</v>
      </c>
      <c r="Z5" s="45" t="s">
        <v>226</v>
      </c>
      <c r="AA5" s="45" t="s">
        <v>227</v>
      </c>
      <c r="AB5" s="45" t="s">
        <v>228</v>
      </c>
      <c r="AC5" s="78" t="s">
        <v>229</v>
      </c>
      <c r="AE5" s="101" t="s">
        <v>11</v>
      </c>
      <c r="AF5" s="231"/>
      <c r="AG5" s="45" t="s">
        <v>224</v>
      </c>
      <c r="AH5" s="45" t="s">
        <v>225</v>
      </c>
      <c r="AI5" s="45" t="s">
        <v>226</v>
      </c>
      <c r="AJ5" s="78"/>
      <c r="AK5" s="45"/>
      <c r="AL5" s="107" t="s">
        <v>97</v>
      </c>
      <c r="AM5" s="45" t="s">
        <v>98</v>
      </c>
      <c r="AN5" s="45" t="s">
        <v>124</v>
      </c>
      <c r="AO5" s="45" t="s">
        <v>8</v>
      </c>
      <c r="AP5" s="45" t="s">
        <v>188</v>
      </c>
      <c r="AQ5" s="45" t="s">
        <v>197</v>
      </c>
      <c r="AR5" s="45" t="s">
        <v>191</v>
      </c>
      <c r="AS5" s="45" t="s">
        <v>192</v>
      </c>
      <c r="AT5" s="45" t="s">
        <v>193</v>
      </c>
      <c r="AU5" s="45" t="s">
        <v>189</v>
      </c>
      <c r="AV5" s="45" t="s">
        <v>190</v>
      </c>
      <c r="AW5" s="45" t="s">
        <v>199</v>
      </c>
      <c r="AX5" s="45" t="s">
        <v>200</v>
      </c>
      <c r="AY5" s="45" t="s">
        <v>201</v>
      </c>
      <c r="AZ5" s="45" t="s">
        <v>202</v>
      </c>
      <c r="BA5" s="45" t="s">
        <v>203</v>
      </c>
      <c r="BB5" s="45" t="s">
        <v>204</v>
      </c>
      <c r="BC5" s="3"/>
      <c r="BI5" s="107" t="s">
        <v>224</v>
      </c>
      <c r="BJ5" s="45" t="s">
        <v>225</v>
      </c>
      <c r="BK5" s="45" t="s">
        <v>91</v>
      </c>
      <c r="BL5" s="45" t="s">
        <v>98</v>
      </c>
      <c r="BM5" s="45" t="s">
        <v>124</v>
      </c>
      <c r="BN5" s="45" t="s">
        <v>8</v>
      </c>
      <c r="BO5" s="45" t="s">
        <v>188</v>
      </c>
      <c r="BP5" s="45" t="s">
        <v>197</v>
      </c>
      <c r="BQ5" s="45" t="s">
        <v>191</v>
      </c>
      <c r="BR5" s="45" t="s">
        <v>192</v>
      </c>
      <c r="BS5" s="45" t="s">
        <v>193</v>
      </c>
      <c r="BT5" s="45" t="s">
        <v>189</v>
      </c>
      <c r="BU5" s="45" t="s">
        <v>190</v>
      </c>
      <c r="BV5" s="45" t="s">
        <v>199</v>
      </c>
      <c r="BW5" s="45" t="s">
        <v>200</v>
      </c>
      <c r="BX5" s="45" t="s">
        <v>201</v>
      </c>
      <c r="BY5" s="45" t="s">
        <v>202</v>
      </c>
      <c r="BZ5" s="45" t="s">
        <v>203</v>
      </c>
      <c r="CA5" s="45" t="s">
        <v>204</v>
      </c>
      <c r="CB5" s="4" t="s">
        <v>288</v>
      </c>
    </row>
    <row r="6" spans="1:80">
      <c r="B6" s="107" t="s">
        <v>222</v>
      </c>
      <c r="C6" s="45" t="s">
        <v>194</v>
      </c>
      <c r="D6" s="45" t="s">
        <v>217</v>
      </c>
      <c r="E6" s="45" t="s">
        <v>195</v>
      </c>
      <c r="F6" s="45" t="s">
        <v>196</v>
      </c>
      <c r="G6" s="45" t="s">
        <v>194</v>
      </c>
      <c r="H6" s="45" t="s">
        <v>194</v>
      </c>
      <c r="I6" s="45" t="s">
        <v>194</v>
      </c>
      <c r="J6" s="45" t="s">
        <v>194</v>
      </c>
      <c r="K6" s="45" t="s">
        <v>194</v>
      </c>
      <c r="L6" s="45" t="s">
        <v>194</v>
      </c>
      <c r="M6" s="45" t="s">
        <v>196</v>
      </c>
      <c r="N6" s="45" t="s">
        <v>196</v>
      </c>
      <c r="O6" s="45" t="s">
        <v>196</v>
      </c>
      <c r="P6" s="45" t="s">
        <v>198</v>
      </c>
      <c r="Q6" s="45" t="s">
        <v>198</v>
      </c>
      <c r="R6" s="45" t="s">
        <v>198</v>
      </c>
      <c r="S6" s="4" t="s">
        <v>287</v>
      </c>
      <c r="U6" s="45" t="s">
        <v>67</v>
      </c>
      <c r="V6" s="101" t="s">
        <v>233</v>
      </c>
      <c r="W6" s="45" t="s">
        <v>222</v>
      </c>
      <c r="X6" s="45" t="s">
        <v>231</v>
      </c>
      <c r="Y6" s="45" t="s">
        <v>232</v>
      </c>
      <c r="Z6" s="45" t="s">
        <v>231</v>
      </c>
      <c r="AA6" s="45" t="s">
        <v>232</v>
      </c>
      <c r="AB6" s="45" t="s">
        <v>232</v>
      </c>
      <c r="AC6" s="78" t="s">
        <v>232</v>
      </c>
      <c r="AE6" s="101" t="s">
        <v>12</v>
      </c>
      <c r="AF6" s="231" t="s">
        <v>13</v>
      </c>
      <c r="AG6" s="45" t="s">
        <v>231</v>
      </c>
      <c r="AH6" s="45" t="s">
        <v>232</v>
      </c>
      <c r="AI6" s="45" t="s">
        <v>232</v>
      </c>
      <c r="AJ6" s="151" t="s">
        <v>86</v>
      </c>
      <c r="AK6" s="45"/>
      <c r="AL6" s="107" t="s">
        <v>222</v>
      </c>
      <c r="AM6" s="45" t="s">
        <v>194</v>
      </c>
      <c r="AN6" s="45" t="s">
        <v>217</v>
      </c>
      <c r="AO6" s="45" t="s">
        <v>195</v>
      </c>
      <c r="AP6" s="45" t="s">
        <v>196</v>
      </c>
      <c r="AQ6" s="45" t="s">
        <v>194</v>
      </c>
      <c r="AR6" s="45" t="s">
        <v>194</v>
      </c>
      <c r="AS6" s="45" t="s">
        <v>194</v>
      </c>
      <c r="AT6" s="45" t="s">
        <v>194</v>
      </c>
      <c r="AU6" s="45" t="s">
        <v>194</v>
      </c>
      <c r="AV6" s="45" t="s">
        <v>194</v>
      </c>
      <c r="AW6" s="45" t="s">
        <v>196</v>
      </c>
      <c r="AX6" s="45" t="s">
        <v>196</v>
      </c>
      <c r="AY6" s="45" t="s">
        <v>196</v>
      </c>
      <c r="AZ6" s="45" t="s">
        <v>198</v>
      </c>
      <c r="BA6" s="45" t="s">
        <v>198</v>
      </c>
      <c r="BB6" s="45" t="s">
        <v>198</v>
      </c>
      <c r="BC6" s="4" t="s">
        <v>288</v>
      </c>
      <c r="BD6" s="18"/>
      <c r="BE6" s="307" t="s">
        <v>206</v>
      </c>
      <c r="BF6" s="307"/>
      <c r="BG6" s="307"/>
      <c r="BI6" s="107" t="s">
        <v>236</v>
      </c>
      <c r="BJ6" s="45" t="s">
        <v>67</v>
      </c>
      <c r="BK6" s="45" t="s">
        <v>67</v>
      </c>
      <c r="BL6" s="45" t="s">
        <v>67</v>
      </c>
      <c r="BM6" s="45" t="s">
        <v>218</v>
      </c>
      <c r="BN6" s="45" t="s">
        <v>219</v>
      </c>
      <c r="BO6" s="45" t="s">
        <v>220</v>
      </c>
      <c r="BP6" s="45" t="s">
        <v>67</v>
      </c>
      <c r="BQ6" s="45" t="s">
        <v>67</v>
      </c>
      <c r="BR6" s="45" t="s">
        <v>67</v>
      </c>
      <c r="BS6" s="45" t="s">
        <v>67</v>
      </c>
      <c r="BT6" s="45" t="s">
        <v>67</v>
      </c>
      <c r="BU6" s="45" t="s">
        <v>67</v>
      </c>
      <c r="BV6" s="45" t="s">
        <v>220</v>
      </c>
      <c r="BW6" s="45" t="s">
        <v>220</v>
      </c>
      <c r="BX6" s="45" t="s">
        <v>220</v>
      </c>
      <c r="BY6" s="45" t="s">
        <v>221</v>
      </c>
      <c r="BZ6" s="45" t="s">
        <v>221</v>
      </c>
      <c r="CA6" s="45" t="s">
        <v>221</v>
      </c>
      <c r="CB6" s="4"/>
    </row>
    <row r="7" spans="1:80">
      <c r="A7" s="194" t="s">
        <v>86</v>
      </c>
      <c r="B7" s="147">
        <f>($BF$3+$BF$4)/$BF$2</f>
        <v>0.13984962406015039</v>
      </c>
      <c r="C7" s="145">
        <f t="shared" ref="C7:C35" si="0">B7* $BF$2</f>
        <v>9.3000000000000007</v>
      </c>
      <c r="D7" s="144">
        <f>D8</f>
        <v>2.9799999999999998E-4</v>
      </c>
      <c r="E7" s="144">
        <f t="shared" ref="E7:R7" si="1">E8</f>
        <v>13000000</v>
      </c>
      <c r="F7" s="144">
        <f t="shared" si="1"/>
        <v>274000</v>
      </c>
      <c r="G7" s="146">
        <f t="shared" si="1"/>
        <v>0.127</v>
      </c>
      <c r="H7" s="146">
        <f t="shared" si="1"/>
        <v>1.2E-2</v>
      </c>
      <c r="I7" s="146">
        <f t="shared" si="1"/>
        <v>1.2789999999999999</v>
      </c>
      <c r="J7" s="146">
        <f t="shared" si="1"/>
        <v>-2.7E-2</v>
      </c>
      <c r="K7" s="146">
        <f t="shared" si="1"/>
        <v>-1E-3</v>
      </c>
      <c r="L7" s="146">
        <f t="shared" si="1"/>
        <v>-2E-3</v>
      </c>
      <c r="M7" s="144">
        <f t="shared" si="1"/>
        <v>288859</v>
      </c>
      <c r="N7" s="144">
        <f t="shared" si="1"/>
        <v>7070000</v>
      </c>
      <c r="O7" s="144">
        <f t="shared" si="1"/>
        <v>33000</v>
      </c>
      <c r="P7" s="144">
        <f t="shared" si="1"/>
        <v>7.1999999999999997E-6</v>
      </c>
      <c r="Q7" s="144">
        <f t="shared" si="1"/>
        <v>9.0600000000000001E-4</v>
      </c>
      <c r="R7" s="144">
        <f t="shared" si="1"/>
        <v>1.6200000000000001E-5</v>
      </c>
      <c r="S7" s="4">
        <v>1</v>
      </c>
      <c r="U7" s="232">
        <f t="shared" ref="U7:U13" si="2">W7* $BF$2 *$BG$8 - $BF$3 *$BG$8</f>
        <v>0.14732063499999998</v>
      </c>
      <c r="V7" s="101">
        <v>1</v>
      </c>
      <c r="W7" s="148">
        <v>0.13985</v>
      </c>
      <c r="X7">
        <v>8.1999999999999993</v>
      </c>
      <c r="Y7">
        <v>5.45</v>
      </c>
      <c r="Z7">
        <v>0</v>
      </c>
      <c r="AA7">
        <v>9.3000000000000007</v>
      </c>
      <c r="AB7">
        <v>0</v>
      </c>
      <c r="AC7" s="3">
        <v>0</v>
      </c>
      <c r="AE7" s="101">
        <f>_xlfn.XLOOKUP(AL7, $W$7:$W$200, $V$7:$V$200, , 1)</f>
        <v>1</v>
      </c>
      <c r="AF7" s="231">
        <f>AE7+1</f>
        <v>2</v>
      </c>
      <c r="AG7" s="29">
        <f t="shared" ref="AG7:AG30" si="3">_xlfn.LET(
    _xlpm.r, $AL7,
    _xlpm.rp, _xlfn.XLOOKUP($AE7, $V$7:$V$202, $W$7:$W$202, , -1),
    _xlpm.rn, _xlfn.XLOOKUP($AF7, $V$7:$V$202, $W$7:$W$202, , -1),
    _xlpm.xp, _xlfn.XLOOKUP($AE7, $V$7:$V$202, X$7:X$202, , -1),
    _xlpm.xn, _xlfn.XLOOKUP($AF7, $V$7:$V$202, X$7:X$202, , -1),
    (_xlpm.r - _xlpm.rp)/(_xlpm.rn - _xlpm.rp)*(_xlpm.xn - _xlpm.xp) + _xlpm.xp
)</f>
        <v>8.1999999999999993</v>
      </c>
      <c r="AH7" s="29">
        <f t="shared" ref="AH7:AH30" si="4">_xlfn.LET(
    _xlpm.r, $AL7,
    _xlpm.rp, _xlfn.XLOOKUP($AE7, $V$7:$V$202, $W$7:$W$202, , -1),
    _xlpm.rn, _xlfn.XLOOKUP($AF7, $V$7:$V$202, $W$7:$W$202, , -1),
    _xlpm.xp, _xlfn.XLOOKUP($AE7, $V$7:$V$202, Y$7:Y$202, , -1),
    _xlpm.xn, _xlfn.XLOOKUP($AF7, $V$7:$V$202, Y$7:Y$202, , -1),
    (_xlpm.r - _xlpm.rp)/(_xlpm.rn - _xlpm.rp)*(_xlpm.xn - _xlpm.xp) + _xlpm.xp
)</f>
        <v>5.45</v>
      </c>
      <c r="AI7" s="141">
        <f t="shared" ref="AI7:AI30" si="5" xml:space="preserve"> - _xlfn.LET(
    _xlpm.r, $AL7,
    _xlpm.rp, _xlfn.XLOOKUP($AE7, $V$7:$V$202, $W$7:$W$202, , -1),
    _xlpm.rn, _xlfn.XLOOKUP($AF7, $V$7:$V$202, $W$7:$W$202, , -1),
    _xlpm.xp, _xlfn.XLOOKUP($AE7, $V$7:$V$202, AB$7:AB$202, , -1),
    _xlpm.xn, _xlfn.XLOOKUP($AF7, $V$7:$V$202, AB$7:AB$202, , -1),
   (_xlpm.r - _xlpm.rp)/(_xlpm.rn - _xlpm.rp)*(_xlpm.xn - _xlpm.xp) + _xlpm.xp
)</f>
        <v>0</v>
      </c>
      <c r="AJ7" s="152">
        <f t="shared" ref="AJ7:AJ27" si="6">_xlfn.LET(
    _xlpm.r, $AL7,
    _xlpm.rp, _xlfn.XLOOKUP($AE7, $V$7:$V$202, $W$7:$W$202, , -1),
    _xlpm.rn, _xlfn.XLOOKUP($AF7, $V$7:$V$202, $W$7:$W$202, , -1),
    _xlpm.xp, _xlfn.XLOOKUP($AE7, $V$7:$V$202, Z$7:Z$202, , -1),
    _xlpm.xn, _xlfn.XLOOKUP($AF7, $V$7:$V$202, Z$7:Z$202, , -1),
    (_xlpm.r - _xlpm.rp)/(_xlpm.rn - _xlpm.rp)*(_xlpm.xn - _xlpm.xp) + _xlpm.xp
)</f>
        <v>0</v>
      </c>
      <c r="AK7" s="29"/>
      <c r="AL7" s="147">
        <f t="shared" ref="AL7:AL18" si="7">B7</f>
        <v>0.13984962406015039</v>
      </c>
      <c r="AM7" s="145">
        <f t="shared" ref="AM7:AM18" si="8">C7</f>
        <v>9.3000000000000007</v>
      </c>
      <c r="AN7" s="144">
        <f>AN8</f>
        <v>2.9799999999999998E-4</v>
      </c>
      <c r="AO7" s="144">
        <f t="shared" ref="AO7:BB7" si="9">AO8</f>
        <v>13000000</v>
      </c>
      <c r="AP7" s="144">
        <f t="shared" si="9"/>
        <v>274000</v>
      </c>
      <c r="AQ7" s="146">
        <f t="shared" si="9"/>
        <v>0.127</v>
      </c>
      <c r="AR7" s="146">
        <f t="shared" si="9"/>
        <v>1.2E-2</v>
      </c>
      <c r="AS7" s="146">
        <f t="shared" si="9"/>
        <v>1.2789999999999999</v>
      </c>
      <c r="AT7" s="146">
        <f t="shared" si="9"/>
        <v>-2.7E-2</v>
      </c>
      <c r="AU7" s="146">
        <f t="shared" si="9"/>
        <v>-1E-3</v>
      </c>
      <c r="AV7" s="146">
        <f t="shared" si="9"/>
        <v>-2E-3</v>
      </c>
      <c r="AW7" s="144">
        <f t="shared" si="9"/>
        <v>288859</v>
      </c>
      <c r="AX7" s="144">
        <f t="shared" si="9"/>
        <v>7070000</v>
      </c>
      <c r="AY7" s="144">
        <f t="shared" si="9"/>
        <v>33000</v>
      </c>
      <c r="AZ7" s="144">
        <f t="shared" si="9"/>
        <v>7.1999999999999997E-6</v>
      </c>
      <c r="BA7" s="144">
        <f t="shared" si="9"/>
        <v>9.0600000000000001E-4</v>
      </c>
      <c r="BB7" s="144">
        <f t="shared" si="9"/>
        <v>1.6200000000000001E-5</v>
      </c>
      <c r="BC7" s="4">
        <v>1</v>
      </c>
      <c r="BD7" s="18"/>
      <c r="BE7" s="138"/>
      <c r="BF7" s="138"/>
      <c r="BG7" s="138"/>
      <c r="BI7" s="47">
        <f>AG7</f>
        <v>8.1999999999999993</v>
      </c>
      <c r="BJ7">
        <f>AH7 *$BG$8</f>
        <v>0.13843</v>
      </c>
      <c r="BK7">
        <f>AI7 *$BG$8</f>
        <v>0</v>
      </c>
      <c r="BL7" s="145">
        <f xml:space="preserve"> AM7 * $BG$8 - $BF$3*$BG$8</f>
        <v>0.14732000000000001</v>
      </c>
      <c r="BM7" s="144">
        <f t="shared" ref="BM7" si="10">AN7 * $BG$9/ ($BG$8^2)</f>
        <v>2.0546376733824165</v>
      </c>
      <c r="BN7" s="144">
        <f t="shared" ref="BN7" si="11">AO7 * $BG$9</f>
        <v>57826880.998899996</v>
      </c>
      <c r="BO7" s="144">
        <f t="shared" ref="BO7" si="12">AP7 * $BG$9*$BG$8^2</f>
        <v>786.32921610758365</v>
      </c>
      <c r="BP7" s="146">
        <f t="shared" ref="BP7" si="13" xml:space="preserve"> AQ7 * $BG$8</f>
        <v>3.2258E-3</v>
      </c>
      <c r="BQ7" s="146">
        <f t="shared" ref="BQ7" si="14" xml:space="preserve"> AR7 * $BG$8</f>
        <v>3.0479999999999998E-4</v>
      </c>
      <c r="BR7" s="146">
        <f t="shared" ref="BR7" si="15" xml:space="preserve"> AS7 * $BG$8</f>
        <v>3.2486599999999997E-2</v>
      </c>
      <c r="BS7" s="146">
        <f xml:space="preserve"> AT7 * $BG$8</f>
        <v>-6.8579999999999997E-4</v>
      </c>
      <c r="BT7" s="146">
        <f t="shared" ref="BT7" si="16" xml:space="preserve"> AU7 * $BG$8</f>
        <v>-2.5400000000000001E-5</v>
      </c>
      <c r="BU7" s="146">
        <f t="shared" ref="BU7" si="17" xml:space="preserve"> AV7 * $BG$8</f>
        <v>-5.0800000000000002E-5</v>
      </c>
      <c r="BV7" s="144">
        <f t="shared" ref="BV7" si="18">AW7 * $BG$9*$BG$8^2</f>
        <v>828.97179210080469</v>
      </c>
      <c r="BW7" s="144">
        <f t="shared" ref="BW7" si="19">AX7 * $BG$9*$BG$8^2</f>
        <v>20289.589627301521</v>
      </c>
      <c r="BX7" s="144">
        <f t="shared" ref="BX7" si="20">AY7 * $BG$9*$BG$8^2</f>
        <v>94.703883691789272</v>
      </c>
      <c r="BY7" s="144">
        <f t="shared" ref="BY7" si="21">AZ7 * $BG$9</f>
        <v>3.2027195630159997E-5</v>
      </c>
      <c r="BZ7" s="144">
        <f t="shared" ref="BZ7" si="22">BA7 * $BG$9</f>
        <v>4.0300887834618E-3</v>
      </c>
      <c r="CA7" s="144">
        <f t="shared" ref="CA7" si="23">BB7 * $BG$9</f>
        <v>7.2061190167860002E-5</v>
      </c>
      <c r="CB7" s="4">
        <v>1</v>
      </c>
    </row>
    <row r="8" spans="1:80">
      <c r="A8" t="str">
        <f>IF(B8=B7, "same", "")</f>
        <v/>
      </c>
      <c r="B8" s="142">
        <v>0.17799999999999999</v>
      </c>
      <c r="C8" s="29">
        <f t="shared" si="0"/>
        <v>11.837</v>
      </c>
      <c r="D8" s="1">
        <v>2.9799999999999998E-4</v>
      </c>
      <c r="E8" s="1">
        <v>13000000</v>
      </c>
      <c r="F8" s="1">
        <v>274000</v>
      </c>
      <c r="G8" s="141">
        <v>0.127</v>
      </c>
      <c r="H8" s="141">
        <v>1.2E-2</v>
      </c>
      <c r="I8" s="141">
        <v>1.2789999999999999</v>
      </c>
      <c r="J8" s="141">
        <v>-2.7E-2</v>
      </c>
      <c r="K8" s="141">
        <v>-1E-3</v>
      </c>
      <c r="L8" s="141">
        <v>-2E-3</v>
      </c>
      <c r="M8">
        <v>288859</v>
      </c>
      <c r="N8" s="1">
        <v>7070000</v>
      </c>
      <c r="O8" s="1">
        <v>33000</v>
      </c>
      <c r="P8" s="1">
        <v>7.1999999999999997E-6</v>
      </c>
      <c r="Q8" s="1">
        <v>9.0600000000000001E-4</v>
      </c>
      <c r="R8" s="1">
        <v>1.6200000000000001E-5</v>
      </c>
      <c r="S8" s="4">
        <v>2</v>
      </c>
      <c r="U8" s="232">
        <f t="shared" si="2"/>
        <v>0.19355130199999998</v>
      </c>
      <c r="V8" s="101">
        <v>2</v>
      </c>
      <c r="W8">
        <v>0.16722000000000001</v>
      </c>
      <c r="X8">
        <v>8.1999999999999993</v>
      </c>
      <c r="Y8">
        <v>5.45</v>
      </c>
      <c r="Z8">
        <v>0</v>
      </c>
      <c r="AA8">
        <v>11.12</v>
      </c>
      <c r="AB8">
        <v>0</v>
      </c>
      <c r="AC8" s="3">
        <v>0</v>
      </c>
      <c r="AE8" s="101">
        <f t="shared" ref="AE8:AE30" si="24">_xlfn.XLOOKUP(AL8, $W$7:$W$200, $V$7:$V$200, , -1)</f>
        <v>2</v>
      </c>
      <c r="AF8" s="231">
        <f t="shared" ref="AF8:AF18" si="25">AE8+1</f>
        <v>3</v>
      </c>
      <c r="AG8" s="29">
        <f t="shared" si="3"/>
        <v>8.0484738955823296</v>
      </c>
      <c r="AH8" s="29">
        <f t="shared" si="4"/>
        <v>5.45</v>
      </c>
      <c r="AI8" s="141">
        <f t="shared" si="5"/>
        <v>0</v>
      </c>
      <c r="AJ8" s="152">
        <f t="shared" si="6"/>
        <v>0</v>
      </c>
      <c r="AK8" s="29"/>
      <c r="AL8" s="142">
        <f t="shared" si="7"/>
        <v>0.17799999999999999</v>
      </c>
      <c r="AM8" s="29">
        <f t="shared" si="8"/>
        <v>11.837</v>
      </c>
      <c r="AN8" s="1">
        <v>2.9799999999999998E-4</v>
      </c>
      <c r="AO8" s="1">
        <v>13000000</v>
      </c>
      <c r="AP8" s="1">
        <v>274000</v>
      </c>
      <c r="AQ8" s="141">
        <v>0.127</v>
      </c>
      <c r="AR8" s="141">
        <v>1.2E-2</v>
      </c>
      <c r="AS8" s="141">
        <v>1.2789999999999999</v>
      </c>
      <c r="AT8" s="141">
        <v>-2.7E-2</v>
      </c>
      <c r="AU8" s="141">
        <v>-1E-3</v>
      </c>
      <c r="AV8" s="141">
        <v>-2E-3</v>
      </c>
      <c r="AW8">
        <v>288859</v>
      </c>
      <c r="AX8" s="1">
        <v>7070000</v>
      </c>
      <c r="AY8" s="1">
        <v>33000</v>
      </c>
      <c r="AZ8" s="1">
        <v>7.1999999999999997E-6</v>
      </c>
      <c r="BA8" s="1">
        <v>9.0600000000000001E-4</v>
      </c>
      <c r="BB8" s="1">
        <v>1.6200000000000001E-5</v>
      </c>
      <c r="BC8" s="4">
        <v>2</v>
      </c>
      <c r="BD8" s="18"/>
      <c r="BE8" t="s">
        <v>207</v>
      </c>
      <c r="BF8" s="132" t="s">
        <v>208</v>
      </c>
      <c r="BG8" s="131">
        <v>2.5399999999999999E-2</v>
      </c>
      <c r="BI8" s="47">
        <f t="shared" ref="BI8:BI30" si="26">AG8</f>
        <v>8.0484738955823296</v>
      </c>
      <c r="BJ8">
        <f t="shared" ref="BJ8:BJ30" si="27">AH8 *$BG$8</f>
        <v>0.13843</v>
      </c>
      <c r="BK8">
        <f t="shared" ref="BK8:BK30" si="28">AI8 *$BG$8</f>
        <v>0</v>
      </c>
      <c r="BL8" s="29">
        <f t="shared" ref="BL8:BL30" si="29" xml:space="preserve"> AM8 * $BG$8 - $BF$3*$BG$8</f>
        <v>0.2117598</v>
      </c>
      <c r="BM8" s="1">
        <f t="shared" ref="BM8:BM30" si="30">AN8 * $BG$9/ ($BG$8^2)</f>
        <v>2.0546376733824165</v>
      </c>
      <c r="BN8" s="1">
        <f t="shared" ref="BN8:BN30" si="31">AO8 * $BG$9</f>
        <v>57826880.998899996</v>
      </c>
      <c r="BO8" s="1">
        <f t="shared" ref="BO8:BO30" si="32">AP8 * $BG$9*$BG$8^2</f>
        <v>786.32921610758365</v>
      </c>
      <c r="BP8" s="141">
        <f t="shared" ref="BP8:BP30" si="33" xml:space="preserve"> AQ8 * $BG$8</f>
        <v>3.2258E-3</v>
      </c>
      <c r="BQ8" s="141">
        <f t="shared" ref="BQ8:BQ30" si="34" xml:space="preserve"> AR8 * $BG$8</f>
        <v>3.0479999999999998E-4</v>
      </c>
      <c r="BR8" s="141">
        <f t="shared" ref="BR8:BR30" si="35" xml:space="preserve"> AS8 * $BG$8</f>
        <v>3.2486599999999997E-2</v>
      </c>
      <c r="BS8" s="141">
        <f t="shared" ref="BS8:BS30" si="36" xml:space="preserve"> AT8 * $BG$8</f>
        <v>-6.8579999999999997E-4</v>
      </c>
      <c r="BT8" s="141">
        <f t="shared" ref="BT8:BT30" si="37" xml:space="preserve"> AU8 * $BG$8</f>
        <v>-2.5400000000000001E-5</v>
      </c>
      <c r="BU8" s="141">
        <f t="shared" ref="BU8:BU30" si="38" xml:space="preserve"> AV8 * $BG$8</f>
        <v>-5.0800000000000002E-5</v>
      </c>
      <c r="BV8">
        <f t="shared" ref="BV8:BV30" si="39">AW8 * $BG$9*$BG$8^2</f>
        <v>828.97179210080469</v>
      </c>
      <c r="BW8" s="1">
        <f t="shared" ref="BW8:BW30" si="40">AX8 * $BG$9*$BG$8^2</f>
        <v>20289.589627301521</v>
      </c>
      <c r="BX8" s="1">
        <f t="shared" ref="BX8:BX30" si="41">AY8 * $BG$9*$BG$8^2</f>
        <v>94.703883691789272</v>
      </c>
      <c r="BY8" s="1">
        <f t="shared" ref="BY8:BY30" si="42">AZ8 * $BG$9</f>
        <v>3.2027195630159997E-5</v>
      </c>
      <c r="BZ8" s="1">
        <f t="shared" ref="BZ8:BZ30" si="43">BA8 * $BG$9</f>
        <v>4.0300887834618E-3</v>
      </c>
      <c r="CA8" s="1">
        <f t="shared" ref="CA8:CA30" si="44">BB8 * $BG$9</f>
        <v>7.2061190167860002E-5</v>
      </c>
      <c r="CB8" s="4">
        <v>2</v>
      </c>
    </row>
    <row r="9" spans="1:80">
      <c r="A9" t="str">
        <f t="shared" ref="A9:A35" si="45">IF(B9=B8, "same", "")</f>
        <v/>
      </c>
      <c r="B9" s="142">
        <v>0.215</v>
      </c>
      <c r="C9" s="29">
        <f t="shared" si="0"/>
        <v>14.297499999999999</v>
      </c>
      <c r="D9" s="1">
        <v>2.1900000000000001E-4</v>
      </c>
      <c r="E9" s="1">
        <v>7380000</v>
      </c>
      <c r="F9" s="1">
        <v>236000</v>
      </c>
      <c r="G9" s="141">
        <v>-2E-3</v>
      </c>
      <c r="H9" s="141">
        <v>5.3999999999999999E-2</v>
      </c>
      <c r="I9" s="141">
        <v>-1.7000000000000001E-2</v>
      </c>
      <c r="J9" s="141">
        <v>3.1E-2</v>
      </c>
      <c r="K9" s="141">
        <v>-5.1999999999999998E-2</v>
      </c>
      <c r="L9" s="141">
        <v>0.04</v>
      </c>
      <c r="M9">
        <v>308234</v>
      </c>
      <c r="N9" s="1">
        <v>4540000</v>
      </c>
      <c r="O9" s="1">
        <v>-19900</v>
      </c>
      <c r="P9" s="1">
        <v>6.1600000000000003E-6</v>
      </c>
      <c r="Q9" s="1">
        <v>3.6299999999999999E-4</v>
      </c>
      <c r="R9" s="1">
        <v>-1.88E-6</v>
      </c>
      <c r="S9" s="4">
        <v>3</v>
      </c>
      <c r="U9" s="232">
        <f t="shared" si="2"/>
        <v>0.33655050799999997</v>
      </c>
      <c r="V9" s="101">
        <v>3</v>
      </c>
      <c r="W9">
        <v>0.25187999999999999</v>
      </c>
      <c r="X9">
        <v>7.01</v>
      </c>
      <c r="Y9">
        <v>5.45</v>
      </c>
      <c r="Z9">
        <v>0</v>
      </c>
      <c r="AA9">
        <v>16.75</v>
      </c>
      <c r="AB9">
        <v>0</v>
      </c>
      <c r="AC9" s="3">
        <v>0</v>
      </c>
      <c r="AE9" s="101">
        <f t="shared" si="24"/>
        <v>2</v>
      </c>
      <c r="AF9" s="231">
        <f t="shared" si="25"/>
        <v>3</v>
      </c>
      <c r="AG9" s="29">
        <f t="shared" si="3"/>
        <v>7.5283935742971888</v>
      </c>
      <c r="AH9" s="29">
        <f t="shared" si="4"/>
        <v>5.45</v>
      </c>
      <c r="AI9" s="141">
        <f t="shared" si="5"/>
        <v>0</v>
      </c>
      <c r="AJ9" s="152">
        <f t="shared" si="6"/>
        <v>0</v>
      </c>
      <c r="AK9" s="29"/>
      <c r="AL9" s="142">
        <f t="shared" si="7"/>
        <v>0.215</v>
      </c>
      <c r="AM9" s="29">
        <f t="shared" si="8"/>
        <v>14.297499999999999</v>
      </c>
      <c r="AN9" s="1">
        <v>2.1900000000000001E-4</v>
      </c>
      <c r="AO9" s="1">
        <v>7380000</v>
      </c>
      <c r="AP9" s="1">
        <v>236000</v>
      </c>
      <c r="AQ9" s="141">
        <v>-2E-3</v>
      </c>
      <c r="AR9" s="141">
        <v>5.3999999999999999E-2</v>
      </c>
      <c r="AS9" s="141">
        <v>-1.7000000000000001E-2</v>
      </c>
      <c r="AT9" s="141">
        <v>3.1E-2</v>
      </c>
      <c r="AU9" s="141">
        <v>-5.1999999999999998E-2</v>
      </c>
      <c r="AV9" s="141">
        <v>0.04</v>
      </c>
      <c r="AW9">
        <v>308234</v>
      </c>
      <c r="AX9" s="1">
        <v>4540000</v>
      </c>
      <c r="AY9" s="1">
        <v>-19900</v>
      </c>
      <c r="AZ9" s="1">
        <v>6.1600000000000003E-6</v>
      </c>
      <c r="BA9" s="1">
        <v>3.6299999999999999E-4</v>
      </c>
      <c r="BB9" s="1">
        <v>-1.88E-6</v>
      </c>
      <c r="BC9" s="4">
        <v>3</v>
      </c>
      <c r="BD9" s="18"/>
      <c r="BE9" t="s">
        <v>210</v>
      </c>
      <c r="BF9" s="132" t="s">
        <v>211</v>
      </c>
      <c r="BG9" s="131">
        <v>4.4482216152999996</v>
      </c>
      <c r="BI9" s="47">
        <f t="shared" si="26"/>
        <v>7.5283935742971888</v>
      </c>
      <c r="BJ9">
        <f t="shared" si="27"/>
        <v>0.13843</v>
      </c>
      <c r="BK9">
        <f t="shared" si="28"/>
        <v>0</v>
      </c>
      <c r="BL9" s="29">
        <f t="shared" si="29"/>
        <v>0.27425650000000001</v>
      </c>
      <c r="BM9" s="1">
        <f t="shared" si="30"/>
        <v>1.5099518472172795</v>
      </c>
      <c r="BN9" s="1">
        <f t="shared" si="31"/>
        <v>32827875.520913996</v>
      </c>
      <c r="BO9" s="1">
        <f t="shared" si="32"/>
        <v>677.27625912915971</v>
      </c>
      <c r="BP9" s="141">
        <f t="shared" si="33"/>
        <v>-5.0800000000000002E-5</v>
      </c>
      <c r="BQ9" s="141">
        <f t="shared" si="34"/>
        <v>1.3715999999999999E-3</v>
      </c>
      <c r="BR9" s="141">
        <f t="shared" si="35"/>
        <v>-4.3180000000000003E-4</v>
      </c>
      <c r="BS9" s="141">
        <f t="shared" si="36"/>
        <v>7.8739999999999995E-4</v>
      </c>
      <c r="BT9" s="141">
        <f t="shared" si="37"/>
        <v>-1.3207999999999998E-3</v>
      </c>
      <c r="BU9" s="141">
        <f t="shared" si="38"/>
        <v>1.016E-3</v>
      </c>
      <c r="BV9">
        <f t="shared" si="39"/>
        <v>884.57445108651439</v>
      </c>
      <c r="BW9" s="1">
        <f t="shared" si="40"/>
        <v>13028.958544264342</v>
      </c>
      <c r="BX9" s="1">
        <f t="shared" si="41"/>
        <v>-57.109311680806258</v>
      </c>
      <c r="BY9" s="1">
        <f t="shared" si="42"/>
        <v>2.7401045150247999E-5</v>
      </c>
      <c r="BZ9" s="1">
        <f t="shared" si="43"/>
        <v>1.6147044463538998E-3</v>
      </c>
      <c r="CA9" s="1">
        <f t="shared" si="44"/>
        <v>-8.3626566367639994E-6</v>
      </c>
      <c r="CB9" s="4">
        <v>3</v>
      </c>
    </row>
    <row r="10" spans="1:80">
      <c r="A10" t="str">
        <f t="shared" si="45"/>
        <v/>
      </c>
      <c r="B10" s="142">
        <v>0.252</v>
      </c>
      <c r="C10" s="29">
        <f t="shared" si="0"/>
        <v>16.757999999999999</v>
      </c>
      <c r="D10" s="1">
        <v>2.0599999999999999E-4</v>
      </c>
      <c r="E10" s="1">
        <v>6280000</v>
      </c>
      <c r="F10" s="1">
        <v>214000</v>
      </c>
      <c r="G10" s="141">
        <v>3.1E-2</v>
      </c>
      <c r="H10" s="141">
        <v>0.112</v>
      </c>
      <c r="I10" s="141">
        <v>-0.05</v>
      </c>
      <c r="J10" s="141">
        <v>5.6000000000000001E-2</v>
      </c>
      <c r="K10" s="141">
        <v>-5.0999999999999997E-2</v>
      </c>
      <c r="L10" s="141">
        <v>7.8E-2</v>
      </c>
      <c r="M10">
        <v>345802</v>
      </c>
      <c r="N10" s="1">
        <v>4030000</v>
      </c>
      <c r="O10" s="1">
        <v>-55600</v>
      </c>
      <c r="P10" s="1">
        <v>6.7499999999999997E-6</v>
      </c>
      <c r="Q10" s="1">
        <v>3.3599999999999998E-4</v>
      </c>
      <c r="R10" s="1">
        <v>-5.93E-6</v>
      </c>
      <c r="S10" s="4">
        <v>4</v>
      </c>
      <c r="U10" s="232">
        <f t="shared" si="2"/>
        <v>1.011177048</v>
      </c>
      <c r="V10" s="101">
        <v>4</v>
      </c>
      <c r="W10">
        <v>0.65127999999999997</v>
      </c>
      <c r="X10">
        <v>1.4</v>
      </c>
      <c r="Y10">
        <v>5.45</v>
      </c>
      <c r="Z10">
        <v>0</v>
      </c>
      <c r="AA10">
        <v>43.31</v>
      </c>
      <c r="AB10">
        <v>0</v>
      </c>
      <c r="AC10" s="3">
        <v>0</v>
      </c>
      <c r="AE10" s="101">
        <f t="shared" si="24"/>
        <v>3</v>
      </c>
      <c r="AF10" s="231">
        <f t="shared" si="25"/>
        <v>4</v>
      </c>
      <c r="AG10" s="29">
        <f t="shared" si="3"/>
        <v>7.0083144717075614</v>
      </c>
      <c r="AH10" s="29">
        <f t="shared" si="4"/>
        <v>5.45</v>
      </c>
      <c r="AI10" s="141">
        <f t="shared" si="5"/>
        <v>0</v>
      </c>
      <c r="AJ10" s="152">
        <f t="shared" si="6"/>
        <v>0</v>
      </c>
      <c r="AK10" s="29"/>
      <c r="AL10" s="142">
        <f t="shared" si="7"/>
        <v>0.252</v>
      </c>
      <c r="AM10" s="29">
        <f t="shared" si="8"/>
        <v>16.757999999999999</v>
      </c>
      <c r="AN10" s="1">
        <v>2.0599999999999999E-4</v>
      </c>
      <c r="AO10" s="1">
        <v>6280000</v>
      </c>
      <c r="AP10" s="1">
        <v>214000</v>
      </c>
      <c r="AQ10" s="141">
        <v>3.1E-2</v>
      </c>
      <c r="AR10" s="141">
        <v>0.112</v>
      </c>
      <c r="AS10" s="141">
        <v>-0.05</v>
      </c>
      <c r="AT10" s="141">
        <v>5.6000000000000001E-2</v>
      </c>
      <c r="AU10" s="141">
        <v>-5.0999999999999997E-2</v>
      </c>
      <c r="AV10" s="141">
        <v>7.8E-2</v>
      </c>
      <c r="AW10">
        <v>345802</v>
      </c>
      <c r="AX10" s="1">
        <v>4030000</v>
      </c>
      <c r="AY10" s="1">
        <v>-55600</v>
      </c>
      <c r="AZ10" s="1">
        <v>6.7499999999999997E-6</v>
      </c>
      <c r="BA10" s="1">
        <v>3.3599999999999998E-4</v>
      </c>
      <c r="BB10" s="1">
        <v>-5.93E-6</v>
      </c>
      <c r="BC10" s="4">
        <v>4</v>
      </c>
      <c r="BD10" s="18"/>
      <c r="BE10" s="18"/>
      <c r="BI10" s="47">
        <f t="shared" si="26"/>
        <v>7.0083144717075614</v>
      </c>
      <c r="BJ10">
        <f t="shared" si="27"/>
        <v>0.13843</v>
      </c>
      <c r="BK10">
        <f t="shared" si="28"/>
        <v>0</v>
      </c>
      <c r="BL10" s="29">
        <f t="shared" si="29"/>
        <v>0.33675319999999997</v>
      </c>
      <c r="BM10" s="1">
        <f t="shared" si="30"/>
        <v>1.4203200024052947</v>
      </c>
      <c r="BN10" s="1">
        <f t="shared" si="31"/>
        <v>27934831.744083997</v>
      </c>
      <c r="BO10" s="1">
        <f t="shared" si="32"/>
        <v>614.14033666796684</v>
      </c>
      <c r="BP10" s="141">
        <f t="shared" si="33"/>
        <v>7.8739999999999995E-4</v>
      </c>
      <c r="BQ10" s="141">
        <f t="shared" si="34"/>
        <v>2.8447999999999998E-3</v>
      </c>
      <c r="BR10" s="141">
        <f t="shared" si="35"/>
        <v>-1.2700000000000001E-3</v>
      </c>
      <c r="BS10" s="141">
        <f t="shared" si="36"/>
        <v>1.4223999999999999E-3</v>
      </c>
      <c r="BT10" s="141">
        <f t="shared" si="37"/>
        <v>-1.2953999999999999E-3</v>
      </c>
      <c r="BU10" s="141">
        <f t="shared" si="38"/>
        <v>1.9811999999999998E-3</v>
      </c>
      <c r="BV10">
        <f t="shared" si="39"/>
        <v>992.38764813297314</v>
      </c>
      <c r="BW10" s="1">
        <f t="shared" si="40"/>
        <v>11565.353069027598</v>
      </c>
      <c r="BX10" s="1">
        <f t="shared" si="41"/>
        <v>-159.56169494737827</v>
      </c>
      <c r="BY10" s="1">
        <f t="shared" si="42"/>
        <v>3.0025495903274995E-5</v>
      </c>
      <c r="BZ10" s="1">
        <f t="shared" si="43"/>
        <v>1.4946024627407997E-3</v>
      </c>
      <c r="CA10" s="1">
        <f t="shared" si="44"/>
        <v>-2.6377954178728998E-5</v>
      </c>
      <c r="CB10" s="4">
        <v>4</v>
      </c>
    </row>
    <row r="11" spans="1:80">
      <c r="A11" t="str">
        <f t="shared" si="45"/>
        <v/>
      </c>
      <c r="B11" s="142">
        <v>0.38900000000000001</v>
      </c>
      <c r="C11" s="29">
        <f t="shared" si="0"/>
        <v>25.868500000000001</v>
      </c>
      <c r="D11" s="1">
        <v>1.5799999999999999E-4</v>
      </c>
      <c r="E11" s="1">
        <v>6190000</v>
      </c>
      <c r="F11" s="1">
        <v>169000</v>
      </c>
      <c r="G11" s="141">
        <v>8.1000000000000003E-2</v>
      </c>
      <c r="H11" s="141">
        <v>0.13400000000000001</v>
      </c>
      <c r="I11" s="141">
        <v>0.66500000000000004</v>
      </c>
      <c r="J11" s="141">
        <v>5.6000000000000001E-2</v>
      </c>
      <c r="K11" s="141">
        <v>-2.5999999999999999E-2</v>
      </c>
      <c r="L11" s="141">
        <v>0.112</v>
      </c>
      <c r="M11">
        <v>259208</v>
      </c>
      <c r="N11" s="1">
        <v>3930000</v>
      </c>
      <c r="O11" s="1">
        <v>-19500</v>
      </c>
      <c r="P11" s="1">
        <v>6.5400000000000001E-6</v>
      </c>
      <c r="Q11" s="1">
        <v>2.6200000000000003E-4</v>
      </c>
      <c r="R11" s="1">
        <v>2.8200000000000001E-6</v>
      </c>
      <c r="S11" s="4">
        <v>5</v>
      </c>
      <c r="U11" s="232">
        <f t="shared" si="2"/>
        <v>1.09549692</v>
      </c>
      <c r="V11" s="101">
        <v>5</v>
      </c>
      <c r="W11">
        <v>0.70120000000000005</v>
      </c>
      <c r="X11">
        <v>0.7</v>
      </c>
      <c r="Y11">
        <v>5.45</v>
      </c>
      <c r="Z11">
        <v>0</v>
      </c>
      <c r="AA11">
        <v>46.63</v>
      </c>
      <c r="AB11">
        <v>0</v>
      </c>
      <c r="AC11" s="3">
        <v>0</v>
      </c>
      <c r="AE11" s="101">
        <f t="shared" si="24"/>
        <v>3</v>
      </c>
      <c r="AF11" s="231">
        <f t="shared" si="25"/>
        <v>4</v>
      </c>
      <c r="AG11" s="29">
        <f t="shared" si="3"/>
        <v>5.0840030045067603</v>
      </c>
      <c r="AH11" s="29">
        <f t="shared" si="4"/>
        <v>5.45</v>
      </c>
      <c r="AI11" s="141">
        <f t="shared" si="5"/>
        <v>0</v>
      </c>
      <c r="AJ11" s="152">
        <f t="shared" si="6"/>
        <v>0</v>
      </c>
      <c r="AK11" s="29"/>
      <c r="AL11" s="142">
        <f t="shared" si="7"/>
        <v>0.38900000000000001</v>
      </c>
      <c r="AM11" s="29">
        <f t="shared" si="8"/>
        <v>25.868500000000001</v>
      </c>
      <c r="AN11" s="1">
        <v>1.5799999999999999E-4</v>
      </c>
      <c r="AO11" s="1">
        <v>6190000</v>
      </c>
      <c r="AP11" s="1">
        <v>169000</v>
      </c>
      <c r="AQ11" s="141">
        <v>8.1000000000000003E-2</v>
      </c>
      <c r="AR11" s="141">
        <v>0.13400000000000001</v>
      </c>
      <c r="AS11" s="141">
        <v>0.66500000000000004</v>
      </c>
      <c r="AT11" s="141">
        <v>5.6000000000000001E-2</v>
      </c>
      <c r="AU11" s="141">
        <v>-2.5999999999999999E-2</v>
      </c>
      <c r="AV11" s="141">
        <v>0.112</v>
      </c>
      <c r="AW11">
        <v>259208</v>
      </c>
      <c r="AX11" s="1">
        <v>3930000</v>
      </c>
      <c r="AY11" s="1">
        <v>-19500</v>
      </c>
      <c r="AZ11" s="1">
        <v>6.5400000000000001E-6</v>
      </c>
      <c r="BA11" s="1">
        <v>2.6200000000000003E-4</v>
      </c>
      <c r="BB11" s="1">
        <v>2.8200000000000001E-6</v>
      </c>
      <c r="BC11" s="4">
        <v>5</v>
      </c>
      <c r="BD11" s="18"/>
      <c r="BE11" s="18"/>
      <c r="BI11" s="47">
        <f t="shared" si="26"/>
        <v>5.0840030045067603</v>
      </c>
      <c r="BJ11">
        <f t="shared" si="27"/>
        <v>0.13843</v>
      </c>
      <c r="BK11">
        <f t="shared" si="28"/>
        <v>0</v>
      </c>
      <c r="BL11" s="29">
        <f t="shared" si="29"/>
        <v>0.56815990000000005</v>
      </c>
      <c r="BM11" s="1">
        <f t="shared" si="30"/>
        <v>1.0893716523302746</v>
      </c>
      <c r="BN11" s="1">
        <f t="shared" si="31"/>
        <v>27534491.798706997</v>
      </c>
      <c r="BO11" s="1">
        <f t="shared" si="32"/>
        <v>484.99867708825417</v>
      </c>
      <c r="BP11" s="141">
        <f t="shared" si="33"/>
        <v>2.0574E-3</v>
      </c>
      <c r="BQ11" s="141">
        <f t="shared" si="34"/>
        <v>3.4036000000000001E-3</v>
      </c>
      <c r="BR11" s="141">
        <f t="shared" si="35"/>
        <v>1.6891E-2</v>
      </c>
      <c r="BS11" s="141">
        <f t="shared" si="36"/>
        <v>1.4223999999999999E-3</v>
      </c>
      <c r="BT11" s="141">
        <f t="shared" si="37"/>
        <v>-6.603999999999999E-4</v>
      </c>
      <c r="BU11" s="141">
        <f t="shared" si="38"/>
        <v>2.8447999999999998E-3</v>
      </c>
      <c r="BV11">
        <f t="shared" si="39"/>
        <v>743.87891769640339</v>
      </c>
      <c r="BW11" s="1">
        <f t="shared" si="40"/>
        <v>11278.371603294905</v>
      </c>
      <c r="BX11" s="1">
        <f t="shared" si="41"/>
        <v>-55.961385817875481</v>
      </c>
      <c r="BY11" s="1">
        <f t="shared" si="42"/>
        <v>2.9091369364061997E-5</v>
      </c>
      <c r="BZ11" s="1">
        <f t="shared" si="43"/>
        <v>1.1654340632085999E-3</v>
      </c>
      <c r="CA11" s="1">
        <f t="shared" si="44"/>
        <v>1.2543984955146E-5</v>
      </c>
      <c r="CB11" s="4">
        <v>5</v>
      </c>
    </row>
    <row r="12" spans="1:80">
      <c r="A12" t="str">
        <f t="shared" si="45"/>
        <v/>
      </c>
      <c r="B12" s="142">
        <v>0.40500000000000003</v>
      </c>
      <c r="C12" s="29">
        <f t="shared" si="0"/>
        <v>26.932500000000001</v>
      </c>
      <c r="D12" s="1">
        <v>1.5699999999999999E-4</v>
      </c>
      <c r="E12" s="1">
        <v>6190000</v>
      </c>
      <c r="F12" s="1">
        <v>168000</v>
      </c>
      <c r="G12" s="141">
        <v>8.8999999999999996E-2</v>
      </c>
      <c r="H12" s="141">
        <v>9.0999999999999998E-2</v>
      </c>
      <c r="I12" s="141">
        <v>0.66</v>
      </c>
      <c r="J12" s="141">
        <v>9.7000000000000003E-2</v>
      </c>
      <c r="K12" s="141">
        <v>-2.5000000000000001E-2</v>
      </c>
      <c r="L12" s="141">
        <v>4.7E-2</v>
      </c>
      <c r="M12">
        <v>258124</v>
      </c>
      <c r="N12" s="1">
        <v>3920000</v>
      </c>
      <c r="O12" s="1">
        <v>-69700</v>
      </c>
      <c r="P12" s="1">
        <v>6.4300000000000003E-6</v>
      </c>
      <c r="Q12" s="1">
        <v>2.63E-4</v>
      </c>
      <c r="R12" s="1">
        <v>-1.15E-6</v>
      </c>
      <c r="S12" s="4">
        <v>6</v>
      </c>
      <c r="U12" s="232">
        <f t="shared" si="2"/>
        <v>1.2636468249999999</v>
      </c>
      <c r="V12" s="101">
        <v>6</v>
      </c>
      <c r="W12">
        <v>0.80074999999999996</v>
      </c>
      <c r="X12">
        <v>-0.7</v>
      </c>
      <c r="Y12">
        <v>5.45</v>
      </c>
      <c r="Z12">
        <v>0</v>
      </c>
      <c r="AA12">
        <v>53.25</v>
      </c>
      <c r="AB12">
        <v>0</v>
      </c>
      <c r="AC12" s="3">
        <v>0</v>
      </c>
      <c r="AE12" s="101">
        <f t="shared" si="24"/>
        <v>3</v>
      </c>
      <c r="AF12" s="231">
        <f t="shared" si="25"/>
        <v>4</v>
      </c>
      <c r="AG12" s="29">
        <f t="shared" si="3"/>
        <v>4.859265898848272</v>
      </c>
      <c r="AH12" s="29">
        <f t="shared" si="4"/>
        <v>5.45</v>
      </c>
      <c r="AI12" s="141">
        <f t="shared" si="5"/>
        <v>0</v>
      </c>
      <c r="AJ12" s="152">
        <f t="shared" si="6"/>
        <v>0</v>
      </c>
      <c r="AK12" s="29"/>
      <c r="AL12" s="142">
        <f t="shared" si="7"/>
        <v>0.40500000000000003</v>
      </c>
      <c r="AM12" s="29">
        <f t="shared" si="8"/>
        <v>26.932500000000001</v>
      </c>
      <c r="AN12" s="1">
        <v>1.5699999999999999E-4</v>
      </c>
      <c r="AO12" s="1">
        <v>6190000</v>
      </c>
      <c r="AP12" s="1">
        <v>168000</v>
      </c>
      <c r="AQ12" s="141">
        <v>8.8999999999999996E-2</v>
      </c>
      <c r="AR12" s="141">
        <v>9.0999999999999998E-2</v>
      </c>
      <c r="AS12" s="141">
        <v>0.66</v>
      </c>
      <c r="AT12" s="141">
        <v>9.7000000000000003E-2</v>
      </c>
      <c r="AU12" s="141">
        <v>-2.5000000000000001E-2</v>
      </c>
      <c r="AV12" s="141">
        <v>4.7E-2</v>
      </c>
      <c r="AW12">
        <v>258124</v>
      </c>
      <c r="AX12" s="1">
        <v>3920000</v>
      </c>
      <c r="AY12" s="1">
        <v>-69700</v>
      </c>
      <c r="AZ12" s="1">
        <v>6.4300000000000003E-6</v>
      </c>
      <c r="BA12" s="1">
        <v>2.63E-4</v>
      </c>
      <c r="BB12" s="1">
        <v>-1.15E-6</v>
      </c>
      <c r="BC12" s="4">
        <v>6</v>
      </c>
      <c r="BD12" s="18"/>
      <c r="BE12" t="s">
        <v>234</v>
      </c>
      <c r="BF12" s="132" t="s">
        <v>223</v>
      </c>
      <c r="BG12" s="131">
        <v>-14</v>
      </c>
      <c r="BI12" s="47">
        <f t="shared" si="26"/>
        <v>4.859265898848272</v>
      </c>
      <c r="BJ12">
        <f t="shared" si="27"/>
        <v>0.13843</v>
      </c>
      <c r="BK12">
        <f t="shared" si="28"/>
        <v>0</v>
      </c>
      <c r="BL12" s="29">
        <f t="shared" si="29"/>
        <v>0.59518550000000003</v>
      </c>
      <c r="BM12" s="1">
        <f t="shared" si="30"/>
        <v>1.0824768950370449</v>
      </c>
      <c r="BN12" s="1">
        <f t="shared" si="31"/>
        <v>27534491.798706997</v>
      </c>
      <c r="BO12" s="1">
        <f t="shared" si="32"/>
        <v>482.1288624309272</v>
      </c>
      <c r="BP12" s="141">
        <f t="shared" si="33"/>
        <v>2.2605999999999998E-3</v>
      </c>
      <c r="BQ12" s="141">
        <f t="shared" si="34"/>
        <v>2.3113999999999999E-3</v>
      </c>
      <c r="BR12" s="141">
        <f t="shared" si="35"/>
        <v>1.6764000000000001E-2</v>
      </c>
      <c r="BS12" s="141">
        <f t="shared" si="36"/>
        <v>2.4637999999999999E-3</v>
      </c>
      <c r="BT12" s="141">
        <f t="shared" si="37"/>
        <v>-6.3500000000000004E-4</v>
      </c>
      <c r="BU12" s="141">
        <f t="shared" si="38"/>
        <v>1.1937999999999999E-3</v>
      </c>
      <c r="BV12">
        <f t="shared" si="39"/>
        <v>740.76803860786094</v>
      </c>
      <c r="BW12" s="1">
        <f t="shared" si="40"/>
        <v>11249.673456721635</v>
      </c>
      <c r="BX12" s="1">
        <f t="shared" si="41"/>
        <v>-200.02608161568824</v>
      </c>
      <c r="BY12" s="1">
        <f t="shared" si="42"/>
        <v>2.8602064986378998E-5</v>
      </c>
      <c r="BZ12" s="1">
        <f t="shared" si="43"/>
        <v>1.1698822848238998E-3</v>
      </c>
      <c r="CA12" s="1">
        <f t="shared" si="44"/>
        <v>-5.1154548575949996E-6</v>
      </c>
      <c r="CB12" s="4">
        <v>6</v>
      </c>
    </row>
    <row r="13" spans="1:80">
      <c r="A13" t="str">
        <f t="shared" si="45"/>
        <v/>
      </c>
      <c r="B13" s="142">
        <v>0.46899999999999997</v>
      </c>
      <c r="C13" s="29">
        <f t="shared" si="0"/>
        <v>31.188499999999998</v>
      </c>
      <c r="D13" s="1">
        <v>2.04E-4</v>
      </c>
      <c r="E13" s="1">
        <v>5780000</v>
      </c>
      <c r="F13" s="1">
        <v>214000</v>
      </c>
      <c r="G13" s="141">
        <v>3.3000000000000002E-2</v>
      </c>
      <c r="H13" s="141">
        <v>0.113</v>
      </c>
      <c r="I13" s="141">
        <v>-0.04</v>
      </c>
      <c r="J13" s="141">
        <v>5.5E-2</v>
      </c>
      <c r="K13" s="141">
        <v>-5.0999999999999997E-2</v>
      </c>
      <c r="L13" s="141">
        <v>7.8E-2</v>
      </c>
      <c r="M13">
        <v>323093</v>
      </c>
      <c r="N13" s="1">
        <v>3890000</v>
      </c>
      <c r="O13" s="1">
        <v>-51800</v>
      </c>
      <c r="P13" s="1">
        <v>6.4999999999999996E-6</v>
      </c>
      <c r="Q13" s="1">
        <v>3.4299999999999999E-4</v>
      </c>
      <c r="R13" s="1">
        <v>-5.5899999999999998E-6</v>
      </c>
      <c r="S13" s="4">
        <v>7</v>
      </c>
      <c r="U13" s="232">
        <f t="shared" si="2"/>
        <v>1.3477302230000001</v>
      </c>
      <c r="V13" s="101">
        <v>7</v>
      </c>
      <c r="W13">
        <v>0.85053000000000001</v>
      </c>
      <c r="X13">
        <v>-1.4</v>
      </c>
      <c r="Y13">
        <v>5.45</v>
      </c>
      <c r="Z13">
        <v>0</v>
      </c>
      <c r="AA13">
        <v>56.56</v>
      </c>
      <c r="AB13">
        <v>0</v>
      </c>
      <c r="AC13" s="3">
        <v>0</v>
      </c>
      <c r="AE13" s="101">
        <f t="shared" si="24"/>
        <v>3</v>
      </c>
      <c r="AF13" s="231">
        <f t="shared" si="25"/>
        <v>4</v>
      </c>
      <c r="AG13" s="29">
        <f t="shared" si="3"/>
        <v>3.9603174762143216</v>
      </c>
      <c r="AH13" s="29">
        <f t="shared" si="4"/>
        <v>5.45</v>
      </c>
      <c r="AI13" s="141">
        <f t="shared" si="5"/>
        <v>0</v>
      </c>
      <c r="AJ13" s="152">
        <f t="shared" si="6"/>
        <v>0</v>
      </c>
      <c r="AK13" s="29"/>
      <c r="AL13" s="142">
        <f t="shared" si="7"/>
        <v>0.46899999999999997</v>
      </c>
      <c r="AM13" s="29">
        <f t="shared" si="8"/>
        <v>31.188499999999998</v>
      </c>
      <c r="AN13" s="1">
        <v>2.04E-4</v>
      </c>
      <c r="AO13" s="1">
        <v>5780000</v>
      </c>
      <c r="AP13" s="1">
        <v>214000</v>
      </c>
      <c r="AQ13" s="141">
        <v>3.3000000000000002E-2</v>
      </c>
      <c r="AR13" s="141">
        <v>0.113</v>
      </c>
      <c r="AS13" s="141">
        <v>-0.04</v>
      </c>
      <c r="AT13" s="141">
        <v>5.5E-2</v>
      </c>
      <c r="AU13" s="141">
        <v>-5.0999999999999997E-2</v>
      </c>
      <c r="AV13" s="141">
        <v>7.8E-2</v>
      </c>
      <c r="AW13">
        <v>323093</v>
      </c>
      <c r="AX13" s="1">
        <v>3890000</v>
      </c>
      <c r="AY13" s="1">
        <v>-51800</v>
      </c>
      <c r="AZ13" s="1">
        <v>6.4999999999999996E-6</v>
      </c>
      <c r="BA13" s="1">
        <v>3.4299999999999999E-4</v>
      </c>
      <c r="BB13" s="1">
        <v>-5.5899999999999998E-6</v>
      </c>
      <c r="BC13" s="4">
        <v>7</v>
      </c>
      <c r="BD13" s="18"/>
      <c r="BE13" s="18"/>
      <c r="BI13" s="47">
        <f t="shared" si="26"/>
        <v>3.9603174762143216</v>
      </c>
      <c r="BJ13">
        <f t="shared" si="27"/>
        <v>0.13843</v>
      </c>
      <c r="BK13">
        <f t="shared" si="28"/>
        <v>0</v>
      </c>
      <c r="BL13" s="29">
        <f t="shared" si="29"/>
        <v>0.70328789999999997</v>
      </c>
      <c r="BM13" s="1">
        <f t="shared" si="30"/>
        <v>1.4065304878188356</v>
      </c>
      <c r="BN13" s="1">
        <f t="shared" si="31"/>
        <v>25710720.936433997</v>
      </c>
      <c r="BO13" s="1">
        <f t="shared" si="32"/>
        <v>614.14033666796684</v>
      </c>
      <c r="BP13" s="141">
        <f t="shared" si="33"/>
        <v>8.3819999999999999E-4</v>
      </c>
      <c r="BQ13" s="141">
        <f t="shared" si="34"/>
        <v>2.8701999999999998E-3</v>
      </c>
      <c r="BR13" s="141">
        <f t="shared" si="35"/>
        <v>-1.016E-3</v>
      </c>
      <c r="BS13" s="141">
        <f t="shared" si="36"/>
        <v>1.397E-3</v>
      </c>
      <c r="BT13" s="141">
        <f t="shared" si="37"/>
        <v>-1.2953999999999999E-3</v>
      </c>
      <c r="BU13" s="141">
        <f t="shared" si="38"/>
        <v>1.9811999999999998E-3</v>
      </c>
      <c r="BV13">
        <f t="shared" si="39"/>
        <v>927.21702707973554</v>
      </c>
      <c r="BW13" s="1">
        <f t="shared" si="40"/>
        <v>11163.579017001828</v>
      </c>
      <c r="BX13" s="1">
        <f t="shared" si="41"/>
        <v>-148.65639924953589</v>
      </c>
      <c r="BY13" s="1">
        <f t="shared" si="42"/>
        <v>2.8913440499449995E-5</v>
      </c>
      <c r="BZ13" s="1">
        <f t="shared" si="43"/>
        <v>1.5257400140478998E-3</v>
      </c>
      <c r="CA13" s="1">
        <f t="shared" si="44"/>
        <v>-2.4865558829526999E-5</v>
      </c>
      <c r="CB13" s="4">
        <v>7</v>
      </c>
    </row>
    <row r="14" spans="1:80">
      <c r="A14" t="str">
        <f t="shared" si="45"/>
        <v/>
      </c>
      <c r="B14" s="142">
        <v>0.52900000000000003</v>
      </c>
      <c r="C14" s="29">
        <f t="shared" si="0"/>
        <v>35.1785</v>
      </c>
      <c r="D14" s="1">
        <v>2.0000000000000001E-4</v>
      </c>
      <c r="E14" s="1">
        <v>5190000</v>
      </c>
      <c r="F14" s="1">
        <v>216000</v>
      </c>
      <c r="G14" s="141">
        <v>0.04</v>
      </c>
      <c r="H14" s="141">
        <v>0.112</v>
      </c>
      <c r="I14" s="141">
        <v>-4.9000000000000002E-2</v>
      </c>
      <c r="J14" s="141">
        <v>5.5E-2</v>
      </c>
      <c r="K14" s="141">
        <v>-3.1E-2</v>
      </c>
      <c r="L14" s="141">
        <v>7.8E-2</v>
      </c>
      <c r="M14">
        <v>296044</v>
      </c>
      <c r="N14" s="1">
        <v>3600000</v>
      </c>
      <c r="O14" s="1">
        <v>-42300</v>
      </c>
      <c r="P14" s="1">
        <v>6.4999999999999996E-6</v>
      </c>
      <c r="Q14" s="1">
        <v>3.3399999999999999E-4</v>
      </c>
      <c r="R14" s="1">
        <v>-5.8799999999999996E-6</v>
      </c>
      <c r="S14" s="4">
        <v>8</v>
      </c>
      <c r="U14" s="232">
        <v>1.5161</v>
      </c>
      <c r="V14" s="101">
        <v>8</v>
      </c>
      <c r="W14">
        <v>0.95023000000000002</v>
      </c>
      <c r="X14">
        <v>-2.8</v>
      </c>
      <c r="Y14">
        <v>5.45</v>
      </c>
      <c r="Z14">
        <v>0</v>
      </c>
      <c r="AA14">
        <v>63.19</v>
      </c>
      <c r="AB14">
        <v>0</v>
      </c>
      <c r="AC14" s="3">
        <v>0</v>
      </c>
      <c r="AE14" s="101">
        <f t="shared" si="24"/>
        <v>3</v>
      </c>
      <c r="AF14" s="231">
        <f t="shared" si="25"/>
        <v>4</v>
      </c>
      <c r="AG14" s="29">
        <f t="shared" si="3"/>
        <v>3.1175533299949922</v>
      </c>
      <c r="AH14" s="29">
        <f t="shared" si="4"/>
        <v>5.45</v>
      </c>
      <c r="AI14" s="141">
        <f t="shared" si="5"/>
        <v>0</v>
      </c>
      <c r="AJ14" s="152">
        <f t="shared" si="6"/>
        <v>0</v>
      </c>
      <c r="AK14" s="29"/>
      <c r="AL14" s="142">
        <f t="shared" si="7"/>
        <v>0.52900000000000003</v>
      </c>
      <c r="AM14" s="29">
        <f t="shared" si="8"/>
        <v>35.1785</v>
      </c>
      <c r="AN14" s="1">
        <v>2.0000000000000001E-4</v>
      </c>
      <c r="AO14" s="1">
        <v>5190000</v>
      </c>
      <c r="AP14" s="1">
        <v>216000</v>
      </c>
      <c r="AQ14" s="141">
        <v>0.04</v>
      </c>
      <c r="AR14" s="141">
        <v>0.112</v>
      </c>
      <c r="AS14" s="141">
        <v>-4.9000000000000002E-2</v>
      </c>
      <c r="AT14" s="141">
        <v>5.5E-2</v>
      </c>
      <c r="AU14" s="141">
        <v>-3.1E-2</v>
      </c>
      <c r="AV14" s="141">
        <v>7.8E-2</v>
      </c>
      <c r="AW14">
        <v>296044</v>
      </c>
      <c r="AX14" s="1">
        <v>3600000</v>
      </c>
      <c r="AY14" s="1">
        <v>-42300</v>
      </c>
      <c r="AZ14" s="1">
        <v>6.4999999999999996E-6</v>
      </c>
      <c r="BA14" s="1">
        <v>3.3399999999999999E-4</v>
      </c>
      <c r="BB14" s="1">
        <v>-5.8799999999999996E-6</v>
      </c>
      <c r="BC14" s="4">
        <v>8</v>
      </c>
      <c r="BD14" s="18"/>
      <c r="BE14" s="18"/>
      <c r="BI14" s="47">
        <f t="shared" si="26"/>
        <v>3.1175533299949922</v>
      </c>
      <c r="BJ14">
        <f t="shared" si="27"/>
        <v>0.13843</v>
      </c>
      <c r="BK14">
        <f t="shared" si="28"/>
        <v>0</v>
      </c>
      <c r="BL14" s="29">
        <f t="shared" si="29"/>
        <v>0.80463390000000001</v>
      </c>
      <c r="BM14" s="1">
        <f t="shared" si="30"/>
        <v>1.3789514586459173</v>
      </c>
      <c r="BN14" s="1">
        <f t="shared" si="31"/>
        <v>23086270.183406997</v>
      </c>
      <c r="BO14" s="1">
        <f t="shared" si="32"/>
        <v>619.87996598262066</v>
      </c>
      <c r="BP14" s="141">
        <f t="shared" si="33"/>
        <v>1.016E-3</v>
      </c>
      <c r="BQ14" s="141">
        <f t="shared" si="34"/>
        <v>2.8447999999999998E-3</v>
      </c>
      <c r="BR14" s="141">
        <f t="shared" si="35"/>
        <v>-1.2446E-3</v>
      </c>
      <c r="BS14" s="141">
        <f t="shared" si="36"/>
        <v>1.397E-3</v>
      </c>
      <c r="BT14" s="141">
        <f t="shared" si="37"/>
        <v>-7.8739999999999995E-4</v>
      </c>
      <c r="BU14" s="141">
        <f t="shared" si="38"/>
        <v>1.9811999999999998E-3</v>
      </c>
      <c r="BV14">
        <f t="shared" si="39"/>
        <v>849.59141041369901</v>
      </c>
      <c r="BW14" s="1">
        <f t="shared" si="40"/>
        <v>10331.332766377011</v>
      </c>
      <c r="BX14" s="1">
        <f t="shared" si="41"/>
        <v>-121.39316000492988</v>
      </c>
      <c r="BY14" s="1">
        <f t="shared" si="42"/>
        <v>2.8913440499449995E-5</v>
      </c>
      <c r="BZ14" s="1">
        <f t="shared" si="43"/>
        <v>1.4857060195101997E-3</v>
      </c>
      <c r="CA14" s="1">
        <f t="shared" si="44"/>
        <v>-2.6155543097963997E-5</v>
      </c>
      <c r="CB14" s="4">
        <v>8</v>
      </c>
    </row>
    <row r="15" spans="1:80" ht="15" thickBot="1">
      <c r="A15" t="str">
        <f t="shared" si="45"/>
        <v/>
      </c>
      <c r="B15" s="142">
        <v>0.59499999999999997</v>
      </c>
      <c r="C15" s="29">
        <f t="shared" si="0"/>
        <v>39.567499999999995</v>
      </c>
      <c r="D15" s="1">
        <v>2.1599999999999999E-4</v>
      </c>
      <c r="E15" s="1">
        <v>4730000</v>
      </c>
      <c r="F15" s="1">
        <v>115000</v>
      </c>
      <c r="G15" s="141">
        <v>0.11799999999999999</v>
      </c>
      <c r="H15" s="141">
        <v>0.114</v>
      </c>
      <c r="I15" s="141">
        <v>-5.5E-2</v>
      </c>
      <c r="J15" s="141">
        <v>6.9000000000000006E-2</v>
      </c>
      <c r="K15" s="141">
        <v>8.5999999999999993E-2</v>
      </c>
      <c r="L15" s="141">
        <v>8.4000000000000005E-2</v>
      </c>
      <c r="M15">
        <v>148270</v>
      </c>
      <c r="N15" s="1">
        <v>2940000</v>
      </c>
      <c r="O15" s="1">
        <v>-7010</v>
      </c>
      <c r="P15" s="1">
        <v>5.49E-6</v>
      </c>
      <c r="Q15" s="1">
        <v>3.7399999999999998E-4</v>
      </c>
      <c r="R15" s="1">
        <v>-1.8500000000000001E-6</v>
      </c>
      <c r="S15" s="4">
        <v>9</v>
      </c>
      <c r="U15" s="232">
        <f>W15* $BF$2 *$BG$8 - $BF$3 *$BG$8</f>
        <v>1.6001999999999998</v>
      </c>
      <c r="V15" s="102">
        <v>9</v>
      </c>
      <c r="W15" s="13">
        <v>1</v>
      </c>
      <c r="X15" s="13">
        <v>-3.5</v>
      </c>
      <c r="Y15" s="13">
        <v>3.27</v>
      </c>
      <c r="Z15" s="13">
        <v>30</v>
      </c>
      <c r="AA15" s="13">
        <v>66.5</v>
      </c>
      <c r="AB15" s="13">
        <v>-1.911</v>
      </c>
      <c r="AC15" s="61">
        <v>0</v>
      </c>
      <c r="AE15" s="101">
        <f t="shared" si="24"/>
        <v>3</v>
      </c>
      <c r="AF15" s="231">
        <f t="shared" si="25"/>
        <v>4</v>
      </c>
      <c r="AG15" s="29">
        <f t="shared" si="3"/>
        <v>2.1905127691537309</v>
      </c>
      <c r="AH15" s="29">
        <f t="shared" si="4"/>
        <v>5.45</v>
      </c>
      <c r="AI15" s="141">
        <f t="shared" si="5"/>
        <v>0</v>
      </c>
      <c r="AJ15" s="152">
        <f t="shared" si="6"/>
        <v>0</v>
      </c>
      <c r="AK15" s="29"/>
      <c r="AL15" s="142">
        <f t="shared" si="7"/>
        <v>0.59499999999999997</v>
      </c>
      <c r="AM15" s="29">
        <f t="shared" si="8"/>
        <v>39.567499999999995</v>
      </c>
      <c r="AN15" s="1">
        <v>2.1599999999999999E-4</v>
      </c>
      <c r="AO15" s="1">
        <v>4730000</v>
      </c>
      <c r="AP15" s="1">
        <v>115000</v>
      </c>
      <c r="AQ15" s="141">
        <v>0.11799999999999999</v>
      </c>
      <c r="AR15" s="141">
        <v>0.114</v>
      </c>
      <c r="AS15" s="141">
        <v>-5.5E-2</v>
      </c>
      <c r="AT15" s="141">
        <v>6.9000000000000006E-2</v>
      </c>
      <c r="AU15" s="141">
        <v>8.5999999999999993E-2</v>
      </c>
      <c r="AV15" s="141">
        <v>8.4000000000000005E-2</v>
      </c>
      <c r="AW15">
        <v>148270</v>
      </c>
      <c r="AX15" s="1">
        <v>2940000</v>
      </c>
      <c r="AY15" s="1">
        <v>-7010</v>
      </c>
      <c r="AZ15" s="1">
        <v>5.49E-6</v>
      </c>
      <c r="BA15" s="1">
        <v>3.7399999999999998E-4</v>
      </c>
      <c r="BB15" s="1">
        <v>-1.8500000000000001E-6</v>
      </c>
      <c r="BC15" s="4">
        <v>9</v>
      </c>
      <c r="BD15" s="18"/>
      <c r="BE15" s="18"/>
      <c r="BI15" s="47">
        <f t="shared" si="26"/>
        <v>2.1905127691537309</v>
      </c>
      <c r="BJ15">
        <f t="shared" si="27"/>
        <v>0.13843</v>
      </c>
      <c r="BK15">
        <f t="shared" si="28"/>
        <v>0</v>
      </c>
      <c r="BL15" s="29">
        <f t="shared" si="29"/>
        <v>0.91611449999999994</v>
      </c>
      <c r="BM15" s="1">
        <f t="shared" si="30"/>
        <v>1.4892675753375906</v>
      </c>
      <c r="BN15" s="1">
        <f t="shared" si="31"/>
        <v>21040088.240369</v>
      </c>
      <c r="BO15" s="1">
        <f t="shared" si="32"/>
        <v>330.028685592599</v>
      </c>
      <c r="BP15" s="141">
        <f t="shared" si="33"/>
        <v>2.9971999999999998E-3</v>
      </c>
      <c r="BQ15" s="141">
        <f t="shared" si="34"/>
        <v>2.8955999999999999E-3</v>
      </c>
      <c r="BR15" s="141">
        <f t="shared" si="35"/>
        <v>-1.397E-3</v>
      </c>
      <c r="BS15" s="141">
        <f t="shared" si="36"/>
        <v>1.7526E-3</v>
      </c>
      <c r="BT15" s="141">
        <f t="shared" si="37"/>
        <v>2.1843999999999995E-3</v>
      </c>
      <c r="BU15" s="141">
        <f t="shared" si="38"/>
        <v>2.1336000000000003E-3</v>
      </c>
      <c r="BV15">
        <f t="shared" si="39"/>
        <v>425.5074192418665</v>
      </c>
      <c r="BW15" s="1">
        <f t="shared" si="40"/>
        <v>8437.2550925412252</v>
      </c>
      <c r="BX15" s="1">
        <f t="shared" si="41"/>
        <v>-20.117400747861904</v>
      </c>
      <c r="BY15" s="1">
        <f t="shared" si="42"/>
        <v>2.4420736667996999E-5</v>
      </c>
      <c r="BZ15" s="1">
        <f t="shared" si="43"/>
        <v>1.6636348841221997E-3</v>
      </c>
      <c r="CA15" s="1">
        <f t="shared" si="44"/>
        <v>-8.2292099883049989E-6</v>
      </c>
      <c r="CB15" s="4">
        <v>9</v>
      </c>
    </row>
    <row r="16" spans="1:80">
      <c r="A16" t="str">
        <f t="shared" si="45"/>
        <v/>
      </c>
      <c r="B16" s="142">
        <v>0.6</v>
      </c>
      <c r="C16" s="29">
        <f t="shared" si="0"/>
        <v>39.9</v>
      </c>
      <c r="D16" s="1">
        <v>2.1900000000000001E-4</v>
      </c>
      <c r="E16" s="1">
        <v>4740000</v>
      </c>
      <c r="F16" s="1">
        <v>116000</v>
      </c>
      <c r="G16" s="141">
        <v>0.11799999999999999</v>
      </c>
      <c r="H16" s="141">
        <v>0.11899999999999999</v>
      </c>
      <c r="I16" s="141">
        <v>5.0000000000000001E-3</v>
      </c>
      <c r="J16" s="141">
        <v>6.2E-2</v>
      </c>
      <c r="K16" s="141">
        <v>8.6999999999999994E-2</v>
      </c>
      <c r="L16" s="141">
        <v>8.5000000000000006E-2</v>
      </c>
      <c r="M16">
        <v>148925</v>
      </c>
      <c r="N16" s="1">
        <v>2940000</v>
      </c>
      <c r="O16" s="1">
        <v>-9080</v>
      </c>
      <c r="P16" s="1">
        <v>6.8299999999999998E-6</v>
      </c>
      <c r="Q16" s="1">
        <v>3.7199999999999999E-4</v>
      </c>
      <c r="R16" s="1">
        <v>-1.0900000000000001E-5</v>
      </c>
      <c r="S16" s="4">
        <v>10</v>
      </c>
      <c r="AE16" s="101">
        <f t="shared" si="24"/>
        <v>3</v>
      </c>
      <c r="AF16" s="231">
        <f t="shared" si="25"/>
        <v>4</v>
      </c>
      <c r="AG16" s="29">
        <f t="shared" si="3"/>
        <v>2.1202824236354534</v>
      </c>
      <c r="AH16" s="29">
        <f t="shared" si="4"/>
        <v>5.45</v>
      </c>
      <c r="AI16" s="141">
        <f t="shared" si="5"/>
        <v>0</v>
      </c>
      <c r="AJ16" s="152">
        <f t="shared" si="6"/>
        <v>0</v>
      </c>
      <c r="AK16" s="29"/>
      <c r="AL16" s="142">
        <f t="shared" si="7"/>
        <v>0.6</v>
      </c>
      <c r="AM16" s="29">
        <f t="shared" si="8"/>
        <v>39.9</v>
      </c>
      <c r="AN16" s="1">
        <v>2.1900000000000001E-4</v>
      </c>
      <c r="AO16" s="1">
        <v>4740000</v>
      </c>
      <c r="AP16" s="1">
        <v>116000</v>
      </c>
      <c r="AQ16" s="141">
        <v>0.11799999999999999</v>
      </c>
      <c r="AR16" s="141">
        <v>0.11899999999999999</v>
      </c>
      <c r="AS16" s="141">
        <v>5.0000000000000001E-3</v>
      </c>
      <c r="AT16" s="141">
        <v>6.2E-2</v>
      </c>
      <c r="AU16" s="141">
        <v>8.6999999999999994E-2</v>
      </c>
      <c r="AV16" s="141">
        <v>8.5000000000000006E-2</v>
      </c>
      <c r="AW16">
        <v>148925</v>
      </c>
      <c r="AX16" s="1">
        <v>2940000</v>
      </c>
      <c r="AY16" s="1">
        <v>-9080</v>
      </c>
      <c r="AZ16" s="1">
        <v>6.8299999999999998E-6</v>
      </c>
      <c r="BA16" s="1">
        <v>3.7199999999999999E-4</v>
      </c>
      <c r="BB16" s="1">
        <v>-1.0900000000000001E-5</v>
      </c>
      <c r="BC16" s="4">
        <v>10</v>
      </c>
      <c r="BD16" s="18"/>
      <c r="BE16" s="18"/>
      <c r="BI16" s="47">
        <f t="shared" si="26"/>
        <v>2.1202824236354534</v>
      </c>
      <c r="BJ16">
        <f t="shared" si="27"/>
        <v>0.13843</v>
      </c>
      <c r="BK16">
        <f t="shared" si="28"/>
        <v>0</v>
      </c>
      <c r="BL16" s="29">
        <f t="shared" si="29"/>
        <v>0.92456000000000005</v>
      </c>
      <c r="BM16" s="1">
        <f t="shared" si="30"/>
        <v>1.5099518472172795</v>
      </c>
      <c r="BN16" s="1">
        <f t="shared" si="31"/>
        <v>21084570.456521999</v>
      </c>
      <c r="BO16" s="1">
        <f t="shared" si="32"/>
        <v>332.89850024992592</v>
      </c>
      <c r="BP16" s="141">
        <f t="shared" si="33"/>
        <v>2.9971999999999998E-3</v>
      </c>
      <c r="BQ16" s="141">
        <f t="shared" si="34"/>
        <v>3.0225999999999999E-3</v>
      </c>
      <c r="BR16" s="141">
        <f t="shared" si="35"/>
        <v>1.27E-4</v>
      </c>
      <c r="BS16" s="141">
        <f t="shared" si="36"/>
        <v>1.5747999999999999E-3</v>
      </c>
      <c r="BT16" s="141">
        <f t="shared" si="37"/>
        <v>2.2097999999999996E-3</v>
      </c>
      <c r="BU16" s="141">
        <f t="shared" si="38"/>
        <v>2.1589999999999999E-3</v>
      </c>
      <c r="BV16">
        <f t="shared" si="39"/>
        <v>427.38714784241569</v>
      </c>
      <c r="BW16" s="1">
        <f t="shared" si="40"/>
        <v>8437.2550925412252</v>
      </c>
      <c r="BX16" s="1">
        <f t="shared" si="41"/>
        <v>-26.057917088528686</v>
      </c>
      <c r="BY16" s="1">
        <f t="shared" si="42"/>
        <v>3.0381353632498995E-5</v>
      </c>
      <c r="BZ16" s="1">
        <f t="shared" si="43"/>
        <v>1.6547384408915997E-3</v>
      </c>
      <c r="CA16" s="1">
        <f t="shared" si="44"/>
        <v>-4.8485615606770002E-5</v>
      </c>
      <c r="CB16" s="4">
        <v>10</v>
      </c>
    </row>
    <row r="17" spans="1:80">
      <c r="A17" t="str">
        <f t="shared" si="45"/>
        <v/>
      </c>
      <c r="B17" s="142">
        <v>0.60799999999999998</v>
      </c>
      <c r="C17" s="29">
        <f t="shared" si="0"/>
        <v>40.432000000000002</v>
      </c>
      <c r="D17" s="1">
        <v>2.4499999999999999E-4</v>
      </c>
      <c r="E17" s="1">
        <v>4730000</v>
      </c>
      <c r="F17" s="1">
        <v>115000</v>
      </c>
      <c r="G17" s="141">
        <v>0.12</v>
      </c>
      <c r="H17" s="141">
        <v>0.114</v>
      </c>
      <c r="I17" s="141">
        <v>-0.23300000000000001</v>
      </c>
      <c r="J17" s="141">
        <v>5.1999999999999998E-2</v>
      </c>
      <c r="K17" s="141">
        <v>8.5000000000000006E-2</v>
      </c>
      <c r="L17" s="141">
        <v>8.4000000000000005E-2</v>
      </c>
      <c r="M17">
        <v>148135</v>
      </c>
      <c r="N17" s="1">
        <v>2920000</v>
      </c>
      <c r="O17" s="1">
        <v>-7940</v>
      </c>
      <c r="P17" s="1">
        <v>6.1099999999999999E-6</v>
      </c>
      <c r="Q17" s="1">
        <v>3.9399999999999998E-4</v>
      </c>
      <c r="R17" s="1">
        <v>-7.6699999999999994E-6</v>
      </c>
      <c r="S17" s="4">
        <v>11</v>
      </c>
      <c r="AE17" s="101">
        <f t="shared" si="24"/>
        <v>3</v>
      </c>
      <c r="AF17" s="231">
        <f t="shared" si="25"/>
        <v>4</v>
      </c>
      <c r="AG17" s="29">
        <f t="shared" si="3"/>
        <v>2.0079138708062096</v>
      </c>
      <c r="AH17" s="29">
        <f t="shared" si="4"/>
        <v>5.45</v>
      </c>
      <c r="AI17" s="141">
        <f t="shared" si="5"/>
        <v>0</v>
      </c>
      <c r="AJ17" s="152">
        <f t="shared" si="6"/>
        <v>0</v>
      </c>
      <c r="AK17" s="29"/>
      <c r="AL17" s="142">
        <f t="shared" si="7"/>
        <v>0.60799999999999998</v>
      </c>
      <c r="AM17" s="29">
        <f t="shared" si="8"/>
        <v>40.432000000000002</v>
      </c>
      <c r="AN17" s="1">
        <v>2.4499999999999999E-4</v>
      </c>
      <c r="AO17" s="1">
        <v>4730000</v>
      </c>
      <c r="AP17" s="1">
        <v>115000</v>
      </c>
      <c r="AQ17" s="141">
        <v>0.12</v>
      </c>
      <c r="AR17" s="141">
        <v>0.114</v>
      </c>
      <c r="AS17" s="141">
        <v>-0.23300000000000001</v>
      </c>
      <c r="AT17" s="141">
        <v>5.1999999999999998E-2</v>
      </c>
      <c r="AU17" s="141">
        <v>8.5000000000000006E-2</v>
      </c>
      <c r="AV17" s="141">
        <v>8.4000000000000005E-2</v>
      </c>
      <c r="AW17">
        <v>148135</v>
      </c>
      <c r="AX17" s="1">
        <v>2920000</v>
      </c>
      <c r="AY17" s="1">
        <v>-7940</v>
      </c>
      <c r="AZ17" s="1">
        <v>6.1099999999999999E-6</v>
      </c>
      <c r="BA17" s="1">
        <v>3.9399999999999998E-4</v>
      </c>
      <c r="BB17" s="1">
        <v>-7.6699999999999994E-6</v>
      </c>
      <c r="BC17" s="4">
        <v>11</v>
      </c>
      <c r="BD17" s="18"/>
      <c r="BE17" s="18"/>
      <c r="BI17" s="47">
        <f t="shared" si="26"/>
        <v>2.0079138708062096</v>
      </c>
      <c r="BJ17">
        <f t="shared" si="27"/>
        <v>0.13843</v>
      </c>
      <c r="BK17">
        <f t="shared" si="28"/>
        <v>0</v>
      </c>
      <c r="BL17" s="29">
        <f t="shared" si="29"/>
        <v>0.93807280000000004</v>
      </c>
      <c r="BM17" s="1">
        <f t="shared" si="30"/>
        <v>1.6892155368412485</v>
      </c>
      <c r="BN17" s="1">
        <f t="shared" si="31"/>
        <v>21040088.240369</v>
      </c>
      <c r="BO17" s="1">
        <f t="shared" si="32"/>
        <v>330.028685592599</v>
      </c>
      <c r="BP17" s="141">
        <f t="shared" si="33"/>
        <v>3.0479999999999999E-3</v>
      </c>
      <c r="BQ17" s="141">
        <f t="shared" si="34"/>
        <v>2.8955999999999999E-3</v>
      </c>
      <c r="BR17" s="141">
        <f t="shared" si="35"/>
        <v>-5.9182000000000002E-3</v>
      </c>
      <c r="BS17" s="141">
        <f t="shared" si="36"/>
        <v>1.3207999999999998E-3</v>
      </c>
      <c r="BT17" s="141">
        <f t="shared" si="37"/>
        <v>2.1589999999999999E-3</v>
      </c>
      <c r="BU17" s="141">
        <f t="shared" si="38"/>
        <v>2.1336000000000003E-3</v>
      </c>
      <c r="BV17">
        <f t="shared" si="39"/>
        <v>425.11999426312735</v>
      </c>
      <c r="BW17" s="1">
        <f t="shared" si="40"/>
        <v>8379.8587993946876</v>
      </c>
      <c r="BX17" s="1">
        <f t="shared" si="41"/>
        <v>-22.786328379175966</v>
      </c>
      <c r="BY17" s="1">
        <f t="shared" si="42"/>
        <v>2.7178634069482998E-5</v>
      </c>
      <c r="BZ17" s="1">
        <f t="shared" si="43"/>
        <v>1.7525993164281997E-3</v>
      </c>
      <c r="CA17" s="1">
        <f t="shared" si="44"/>
        <v>-3.4117859789350995E-5</v>
      </c>
      <c r="CB17" s="4">
        <v>11</v>
      </c>
    </row>
    <row r="18" spans="1:80">
      <c r="A18" t="str">
        <f t="shared" si="45"/>
        <v/>
      </c>
      <c r="B18" s="195">
        <v>0.67600000000000005</v>
      </c>
      <c r="C18" s="145">
        <f t="shared" si="0"/>
        <v>44.954000000000001</v>
      </c>
      <c r="D18" s="144">
        <v>2.22E-4</v>
      </c>
      <c r="E18" s="144">
        <v>4480000</v>
      </c>
      <c r="F18" s="144">
        <v>86100</v>
      </c>
      <c r="G18" s="146">
        <v>0.15</v>
      </c>
      <c r="H18" s="146">
        <v>0.112</v>
      </c>
      <c r="I18" s="146">
        <v>-0.27700000000000002</v>
      </c>
      <c r="J18" s="146">
        <v>4.8000000000000001E-2</v>
      </c>
      <c r="K18" s="146">
        <v>0.126</v>
      </c>
      <c r="L18" s="146">
        <v>8.5000000000000006E-2</v>
      </c>
      <c r="M18" s="194">
        <v>107293</v>
      </c>
      <c r="N18" s="144">
        <v>2610000</v>
      </c>
      <c r="O18" s="144">
        <v>5730</v>
      </c>
      <c r="P18" s="144">
        <v>4.5700000000000003E-6</v>
      </c>
      <c r="Q18" s="144">
        <v>3.4200000000000002E-4</v>
      </c>
      <c r="R18" s="144">
        <v>-4.1699999999999999E-6</v>
      </c>
      <c r="S18" s="4">
        <v>12</v>
      </c>
      <c r="AE18" s="101">
        <f t="shared" si="24"/>
        <v>4</v>
      </c>
      <c r="AF18" s="231">
        <f t="shared" si="25"/>
        <v>5</v>
      </c>
      <c r="AG18" s="29">
        <f t="shared" si="3"/>
        <v>1.0533653846153841</v>
      </c>
      <c r="AH18" s="29">
        <f t="shared" si="4"/>
        <v>5.45</v>
      </c>
      <c r="AI18" s="141">
        <f t="shared" si="5"/>
        <v>0</v>
      </c>
      <c r="AJ18" s="152">
        <f t="shared" si="6"/>
        <v>0</v>
      </c>
      <c r="AK18" s="29"/>
      <c r="AL18" s="195">
        <f t="shared" si="7"/>
        <v>0.67600000000000005</v>
      </c>
      <c r="AM18" s="145">
        <f t="shared" si="8"/>
        <v>44.954000000000001</v>
      </c>
      <c r="AN18" s="144">
        <f t="shared" ref="AN18:BB18" si="46">AVERAGE(D18:D20)</f>
        <v>2.016666666666667E-4</v>
      </c>
      <c r="AO18" s="144">
        <f t="shared" si="46"/>
        <v>4480000</v>
      </c>
      <c r="AP18" s="144">
        <f t="shared" si="46"/>
        <v>86266.666666666672</v>
      </c>
      <c r="AQ18" s="146">
        <f t="shared" si="46"/>
        <v>0.15033333333333332</v>
      </c>
      <c r="AR18" s="146">
        <f t="shared" si="46"/>
        <v>0.11166666666666668</v>
      </c>
      <c r="AS18" s="146">
        <f t="shared" si="46"/>
        <v>-0.13533333333333333</v>
      </c>
      <c r="AT18" s="146">
        <f t="shared" si="46"/>
        <v>5.5E-2</v>
      </c>
      <c r="AU18" s="146">
        <f t="shared" si="46"/>
        <v>0.12666666666666668</v>
      </c>
      <c r="AV18" s="146">
        <f t="shared" si="46"/>
        <v>8.533333333333333E-2</v>
      </c>
      <c r="AW18" s="194">
        <f t="shared" si="46"/>
        <v>107439</v>
      </c>
      <c r="AX18" s="144">
        <f t="shared" si="46"/>
        <v>2620000</v>
      </c>
      <c r="AY18" s="144">
        <f t="shared" si="46"/>
        <v>5940</v>
      </c>
      <c r="AZ18" s="144">
        <f t="shared" si="46"/>
        <v>4.5266666666666668E-6</v>
      </c>
      <c r="BA18" s="144">
        <f t="shared" si="46"/>
        <v>3.3066666666666666E-4</v>
      </c>
      <c r="BB18" s="144">
        <f t="shared" si="46"/>
        <v>-3.3340000000000002E-6</v>
      </c>
      <c r="BC18" s="4">
        <v>12</v>
      </c>
      <c r="BD18" s="18"/>
      <c r="BE18" s="18"/>
      <c r="BI18" s="47">
        <f t="shared" si="26"/>
        <v>1.0533653846153841</v>
      </c>
      <c r="BJ18">
        <f t="shared" si="27"/>
        <v>0.13843</v>
      </c>
      <c r="BK18">
        <f t="shared" si="28"/>
        <v>0</v>
      </c>
      <c r="BL18" s="145">
        <f t="shared" si="29"/>
        <v>1.0529316</v>
      </c>
      <c r="BM18" s="144">
        <f t="shared" si="30"/>
        <v>1.3904427208013002</v>
      </c>
      <c r="BN18" s="144">
        <f t="shared" si="31"/>
        <v>19928032.836544</v>
      </c>
      <c r="BO18" s="144">
        <f t="shared" si="32"/>
        <v>247.56934443873803</v>
      </c>
      <c r="BP18" s="146">
        <f t="shared" si="33"/>
        <v>3.8184666666666663E-3</v>
      </c>
      <c r="BQ18" s="146">
        <f t="shared" si="34"/>
        <v>2.8363333333333335E-3</v>
      </c>
      <c r="BR18" s="146">
        <f t="shared" si="35"/>
        <v>-3.4374666666666664E-3</v>
      </c>
      <c r="BS18" s="146">
        <f t="shared" si="36"/>
        <v>1.397E-3</v>
      </c>
      <c r="BT18" s="146">
        <f t="shared" si="37"/>
        <v>3.2173333333333333E-3</v>
      </c>
      <c r="BU18" s="146">
        <f t="shared" si="38"/>
        <v>2.1674666666666666E-3</v>
      </c>
      <c r="BV18" s="194">
        <f t="shared" si="39"/>
        <v>308.3300169685499</v>
      </c>
      <c r="BW18" s="144">
        <f t="shared" si="40"/>
        <v>7518.9144021966031</v>
      </c>
      <c r="BX18" s="144">
        <f t="shared" si="41"/>
        <v>17.04669906452207</v>
      </c>
      <c r="BY18" s="144">
        <f t="shared" si="42"/>
        <v>2.0135616511924665E-5</v>
      </c>
      <c r="BZ18" s="144">
        <f t="shared" si="43"/>
        <v>1.4708786141258666E-3</v>
      </c>
      <c r="CA18" s="144">
        <f t="shared" si="44"/>
        <v>-1.48303708654102E-5</v>
      </c>
      <c r="CB18" s="4">
        <v>12</v>
      </c>
    </row>
    <row r="19" spans="1:80">
      <c r="A19" t="str">
        <f t="shared" si="45"/>
        <v>same</v>
      </c>
      <c r="B19" s="195">
        <v>0.67600000000000005</v>
      </c>
      <c r="C19" s="145">
        <f t="shared" si="0"/>
        <v>44.954000000000001</v>
      </c>
      <c r="D19" s="144">
        <v>1.93E-4</v>
      </c>
      <c r="E19" s="144">
        <v>4480000</v>
      </c>
      <c r="F19" s="144">
        <v>86200</v>
      </c>
      <c r="G19" s="146">
        <v>0.151</v>
      </c>
      <c r="H19" s="146">
        <v>0.11</v>
      </c>
      <c r="I19" s="146">
        <v>-8.7999999999999995E-2</v>
      </c>
      <c r="J19" s="146">
        <v>6.5000000000000002E-2</v>
      </c>
      <c r="K19" s="146">
        <v>0.127</v>
      </c>
      <c r="L19" s="146">
        <v>8.5000000000000006E-2</v>
      </c>
      <c r="M19" s="194">
        <v>107422</v>
      </c>
      <c r="N19" s="144">
        <v>2620000</v>
      </c>
      <c r="O19" s="144">
        <v>6540</v>
      </c>
      <c r="P19" s="144">
        <v>4.0600000000000001E-6</v>
      </c>
      <c r="Q19" s="144">
        <v>3.2499999999999999E-4</v>
      </c>
      <c r="R19" s="144">
        <v>8.3799999999999996E-7</v>
      </c>
      <c r="S19" s="4">
        <v>13</v>
      </c>
      <c r="AE19" s="101">
        <f t="shared" si="24"/>
        <v>4</v>
      </c>
      <c r="AF19" s="231">
        <f t="shared" ref="AF19:AF29" si="47">AE19+1</f>
        <v>5</v>
      </c>
      <c r="AG19" s="29">
        <f t="shared" si="3"/>
        <v>0.7028044871794884</v>
      </c>
      <c r="AH19" s="29">
        <f t="shared" si="4"/>
        <v>5.45</v>
      </c>
      <c r="AI19" s="141">
        <f t="shared" si="5"/>
        <v>0</v>
      </c>
      <c r="AJ19" s="152">
        <f t="shared" si="6"/>
        <v>0</v>
      </c>
      <c r="AK19" s="29"/>
      <c r="AL19" s="142">
        <f t="shared" ref="AL19:AM22" si="48">B21</f>
        <v>0.70099999999999996</v>
      </c>
      <c r="AM19" s="29">
        <f t="shared" si="48"/>
        <v>46.616499999999995</v>
      </c>
      <c r="AN19" s="1">
        <v>2.0599999999999999E-4</v>
      </c>
      <c r="AO19" s="1">
        <v>4240000</v>
      </c>
      <c r="AP19" s="1">
        <v>64700</v>
      </c>
      <c r="AQ19" s="141">
        <v>0.27900000000000003</v>
      </c>
      <c r="AR19" s="141">
        <v>0.108</v>
      </c>
      <c r="AS19" s="141">
        <v>-0.26400000000000001</v>
      </c>
      <c r="AT19" s="141">
        <v>4.7E-2</v>
      </c>
      <c r="AU19" s="141">
        <v>0.17499999999999999</v>
      </c>
      <c r="AV19" s="141">
        <v>8.6999999999999994E-2</v>
      </c>
      <c r="AW19">
        <v>74230</v>
      </c>
      <c r="AX19" s="1">
        <v>2370000</v>
      </c>
      <c r="AY19" s="1">
        <v>11700</v>
      </c>
      <c r="AZ19" s="1">
        <v>3.5300000000000001E-6</v>
      </c>
      <c r="BA19" s="1">
        <v>3.2499999999999999E-4</v>
      </c>
      <c r="BB19" s="1">
        <v>-4.0400000000000003E-6</v>
      </c>
      <c r="BC19" s="4">
        <v>13</v>
      </c>
      <c r="BD19" s="18"/>
      <c r="BE19" s="18"/>
      <c r="BI19" s="47">
        <f t="shared" si="26"/>
        <v>0.7028044871794884</v>
      </c>
      <c r="BJ19">
        <f t="shared" si="27"/>
        <v>0.13843</v>
      </c>
      <c r="BK19">
        <f t="shared" si="28"/>
        <v>0</v>
      </c>
      <c r="BL19" s="29">
        <f t="shared" si="29"/>
        <v>1.0951590999999998</v>
      </c>
      <c r="BM19" s="1">
        <f t="shared" si="30"/>
        <v>1.4203200024052947</v>
      </c>
      <c r="BN19" s="1">
        <f t="shared" si="31"/>
        <v>18860459.648871999</v>
      </c>
      <c r="BO19" s="1">
        <f t="shared" si="32"/>
        <v>185.67700832905351</v>
      </c>
      <c r="BP19" s="141">
        <f t="shared" si="33"/>
        <v>7.0866000000000002E-3</v>
      </c>
      <c r="BQ19" s="141">
        <f t="shared" si="34"/>
        <v>2.7431999999999999E-3</v>
      </c>
      <c r="BR19" s="141">
        <f t="shared" si="35"/>
        <v>-6.7055999999999999E-3</v>
      </c>
      <c r="BS19" s="141">
        <f t="shared" si="36"/>
        <v>1.1937999999999999E-3</v>
      </c>
      <c r="BT19" s="141">
        <f t="shared" si="37"/>
        <v>4.4449999999999993E-3</v>
      </c>
      <c r="BU19" s="141">
        <f t="shared" si="38"/>
        <v>2.2097999999999996E-3</v>
      </c>
      <c r="BV19">
        <f t="shared" si="39"/>
        <v>213.02634201337932</v>
      </c>
      <c r="BW19" s="1">
        <f t="shared" si="40"/>
        <v>6801.4607378648661</v>
      </c>
      <c r="BX19" s="1">
        <f t="shared" si="41"/>
        <v>33.57683149072529</v>
      </c>
      <c r="BY19" s="1">
        <f t="shared" si="42"/>
        <v>1.5702222302008998E-5</v>
      </c>
      <c r="BZ19" s="1">
        <f t="shared" si="43"/>
        <v>1.4456720249724998E-3</v>
      </c>
      <c r="CA19" s="1">
        <f t="shared" si="44"/>
        <v>-1.7970815325812001E-5</v>
      </c>
      <c r="CB19" s="4">
        <v>13</v>
      </c>
    </row>
    <row r="20" spans="1:80">
      <c r="A20" t="str">
        <f t="shared" si="45"/>
        <v>same</v>
      </c>
      <c r="B20" s="195">
        <v>0.67600000000000005</v>
      </c>
      <c r="C20" s="145">
        <f t="shared" si="0"/>
        <v>44.954000000000001</v>
      </c>
      <c r="D20" s="144">
        <v>1.9000000000000001E-4</v>
      </c>
      <c r="E20" s="144">
        <v>4480000</v>
      </c>
      <c r="F20" s="144">
        <v>86500</v>
      </c>
      <c r="G20" s="146">
        <v>0.15</v>
      </c>
      <c r="H20" s="146">
        <v>0.113</v>
      </c>
      <c r="I20" s="146">
        <v>-4.1000000000000002E-2</v>
      </c>
      <c r="J20" s="146">
        <v>5.1999999999999998E-2</v>
      </c>
      <c r="K20" s="146">
        <v>0.127</v>
      </c>
      <c r="L20" s="146">
        <v>8.5999999999999993E-2</v>
      </c>
      <c r="M20" s="194">
        <v>107602</v>
      </c>
      <c r="N20" s="144">
        <v>2630000</v>
      </c>
      <c r="O20" s="144">
        <v>5550</v>
      </c>
      <c r="P20" s="144">
        <v>4.95E-6</v>
      </c>
      <c r="Q20" s="144">
        <v>3.2499999999999999E-4</v>
      </c>
      <c r="R20" s="144">
        <v>-6.6699999999999997E-6</v>
      </c>
      <c r="S20" s="4">
        <v>14</v>
      </c>
      <c r="AE20" s="101">
        <f t="shared" si="24"/>
        <v>5</v>
      </c>
      <c r="AF20" s="231">
        <f t="shared" si="47"/>
        <v>6</v>
      </c>
      <c r="AG20" s="29">
        <f t="shared" si="3"/>
        <v>8.4028126569563266E-2</v>
      </c>
      <c r="AH20" s="29">
        <f t="shared" si="4"/>
        <v>5.45</v>
      </c>
      <c r="AI20" s="141">
        <f t="shared" si="5"/>
        <v>0</v>
      </c>
      <c r="AJ20" s="152">
        <f t="shared" si="6"/>
        <v>0</v>
      </c>
      <c r="AK20" s="29"/>
      <c r="AL20" s="142">
        <f t="shared" si="48"/>
        <v>0.745</v>
      </c>
      <c r="AM20" s="29">
        <f t="shared" si="48"/>
        <v>49.542499999999997</v>
      </c>
      <c r="AN20" s="1">
        <v>1.7899999999999999E-4</v>
      </c>
      <c r="AO20" s="1">
        <v>4240000</v>
      </c>
      <c r="AP20" s="1">
        <v>64700</v>
      </c>
      <c r="AQ20" s="141">
        <v>0.28100000000000003</v>
      </c>
      <c r="AR20" s="141">
        <v>0.108</v>
      </c>
      <c r="AS20" s="141">
        <v>-3.5000000000000003E-2</v>
      </c>
      <c r="AT20" s="141">
        <v>6.5000000000000002E-2</v>
      </c>
      <c r="AU20" s="141">
        <v>0.17599999999999999</v>
      </c>
      <c r="AV20" s="141">
        <v>8.6999999999999994E-2</v>
      </c>
      <c r="AW20">
        <v>74337</v>
      </c>
      <c r="AX20" s="1">
        <v>2380000</v>
      </c>
      <c r="AY20" s="1">
        <v>12400</v>
      </c>
      <c r="AZ20" s="1">
        <v>3.1E-6</v>
      </c>
      <c r="BA20" s="1">
        <v>3.0600000000000001E-4</v>
      </c>
      <c r="BB20" s="1">
        <v>6.7599999999999997E-7</v>
      </c>
      <c r="BC20" s="4">
        <v>14</v>
      </c>
      <c r="BD20" s="18"/>
      <c r="BE20" s="18"/>
      <c r="BI20" s="47">
        <f t="shared" si="26"/>
        <v>8.4028126569563266E-2</v>
      </c>
      <c r="BJ20">
        <f t="shared" si="27"/>
        <v>0.13843</v>
      </c>
      <c r="BK20">
        <f t="shared" si="28"/>
        <v>0</v>
      </c>
      <c r="BL20" s="29">
        <f t="shared" si="29"/>
        <v>1.1694794999999998</v>
      </c>
      <c r="BM20" s="1">
        <f t="shared" si="30"/>
        <v>1.2341615554880958</v>
      </c>
      <c r="BN20" s="1">
        <f t="shared" si="31"/>
        <v>18860459.648871999</v>
      </c>
      <c r="BO20" s="1">
        <f t="shared" si="32"/>
        <v>185.67700832905351</v>
      </c>
      <c r="BP20" s="141">
        <f t="shared" si="33"/>
        <v>7.1374000000000003E-3</v>
      </c>
      <c r="BQ20" s="141">
        <f t="shared" si="34"/>
        <v>2.7431999999999999E-3</v>
      </c>
      <c r="BR20" s="141">
        <f t="shared" si="35"/>
        <v>-8.8900000000000003E-4</v>
      </c>
      <c r="BS20" s="141">
        <f t="shared" si="36"/>
        <v>1.6509999999999999E-3</v>
      </c>
      <c r="BT20" s="141">
        <f t="shared" si="37"/>
        <v>4.4703999999999994E-3</v>
      </c>
      <c r="BU20" s="141">
        <f t="shared" si="38"/>
        <v>2.2097999999999996E-3</v>
      </c>
      <c r="BV20">
        <f t="shared" si="39"/>
        <v>213.33341218171333</v>
      </c>
      <c r="BW20" s="1">
        <f t="shared" si="40"/>
        <v>6830.1588844381358</v>
      </c>
      <c r="BX20" s="1">
        <f t="shared" si="41"/>
        <v>35.585701750854149</v>
      </c>
      <c r="BY20" s="1">
        <f t="shared" si="42"/>
        <v>1.3789487007429999E-5</v>
      </c>
      <c r="BZ20" s="1">
        <f t="shared" si="43"/>
        <v>1.3611558142817999E-3</v>
      </c>
      <c r="CA20" s="1">
        <f t="shared" si="44"/>
        <v>3.0069978119427997E-6</v>
      </c>
      <c r="CB20" s="4">
        <v>14</v>
      </c>
    </row>
    <row r="21" spans="1:80">
      <c r="A21" t="str">
        <f t="shared" si="45"/>
        <v/>
      </c>
      <c r="B21" s="142">
        <v>0.70099999999999996</v>
      </c>
      <c r="C21" s="29">
        <f t="shared" si="0"/>
        <v>46.616499999999995</v>
      </c>
      <c r="D21" s="1">
        <v>2.0599999999999999E-4</v>
      </c>
      <c r="E21" s="1">
        <v>4240000</v>
      </c>
      <c r="F21" s="1">
        <v>64700</v>
      </c>
      <c r="G21" s="141">
        <v>0.27900000000000003</v>
      </c>
      <c r="H21" s="141">
        <v>0.108</v>
      </c>
      <c r="I21" s="141">
        <v>-0.26400000000000001</v>
      </c>
      <c r="J21" s="141">
        <v>4.7E-2</v>
      </c>
      <c r="K21" s="141">
        <v>0.17499999999999999</v>
      </c>
      <c r="L21" s="141">
        <v>8.6999999999999994E-2</v>
      </c>
      <c r="M21">
        <v>74230</v>
      </c>
      <c r="N21" s="1">
        <v>2370000</v>
      </c>
      <c r="O21" s="1">
        <v>11700</v>
      </c>
      <c r="P21" s="1">
        <v>3.5300000000000001E-6</v>
      </c>
      <c r="Q21" s="1">
        <v>3.2499999999999999E-4</v>
      </c>
      <c r="R21" s="1">
        <v>-4.0400000000000003E-6</v>
      </c>
      <c r="S21" s="4">
        <v>15</v>
      </c>
      <c r="AE21" s="101">
        <f t="shared" si="24"/>
        <v>5</v>
      </c>
      <c r="AF21" s="231">
        <f t="shared" si="47"/>
        <v>6</v>
      </c>
      <c r="AG21" s="29">
        <f t="shared" si="3"/>
        <v>1.3711702661978964E-2</v>
      </c>
      <c r="AH21" s="29">
        <f t="shared" si="4"/>
        <v>5.45</v>
      </c>
      <c r="AI21" s="141">
        <f t="shared" si="5"/>
        <v>0</v>
      </c>
      <c r="AJ21" s="152">
        <f t="shared" si="6"/>
        <v>0</v>
      </c>
      <c r="AK21" s="29"/>
      <c r="AL21" s="142">
        <f t="shared" si="48"/>
        <v>0.75</v>
      </c>
      <c r="AM21" s="29">
        <f t="shared" si="48"/>
        <v>49.875</v>
      </c>
      <c r="AN21" s="1">
        <v>1.7699999999999999E-4</v>
      </c>
      <c r="AO21" s="1">
        <v>4250000</v>
      </c>
      <c r="AP21" s="1">
        <v>65000</v>
      </c>
      <c r="AQ21" s="141">
        <v>0.28000000000000003</v>
      </c>
      <c r="AR21" s="141">
        <v>0.11</v>
      </c>
      <c r="AS21" s="141">
        <v>1.2E-2</v>
      </c>
      <c r="AT21" s="141">
        <v>5.2999999999999999E-2</v>
      </c>
      <c r="AU21" s="141">
        <v>0.17599999999999999</v>
      </c>
      <c r="AV21" s="141">
        <v>8.6999999999999994E-2</v>
      </c>
      <c r="AW21">
        <v>74471</v>
      </c>
      <c r="AX21" s="1">
        <v>2380000</v>
      </c>
      <c r="AY21" s="1">
        <v>11600</v>
      </c>
      <c r="AZ21" s="1">
        <v>3.6799999999999999E-6</v>
      </c>
      <c r="BA21" s="1">
        <v>2.9999999999999997E-4</v>
      </c>
      <c r="BB21" s="1">
        <v>-4.9300000000000002E-6</v>
      </c>
      <c r="BC21" s="4">
        <v>15</v>
      </c>
      <c r="BD21" s="18"/>
      <c r="BE21" s="18"/>
      <c r="BI21" s="47">
        <f t="shared" si="26"/>
        <v>1.3711702661978964E-2</v>
      </c>
      <c r="BJ21">
        <f t="shared" si="27"/>
        <v>0.13843</v>
      </c>
      <c r="BK21">
        <f t="shared" si="28"/>
        <v>0</v>
      </c>
      <c r="BL21" s="29">
        <f t="shared" si="29"/>
        <v>1.1779249999999999</v>
      </c>
      <c r="BM21" s="1">
        <f t="shared" si="30"/>
        <v>1.2203720409016365</v>
      </c>
      <c r="BN21" s="1">
        <f t="shared" si="31"/>
        <v>18904941.865024999</v>
      </c>
      <c r="BO21" s="1">
        <f t="shared" si="32"/>
        <v>186.5379527262516</v>
      </c>
      <c r="BP21" s="141">
        <f t="shared" si="33"/>
        <v>7.1120000000000003E-3</v>
      </c>
      <c r="BQ21" s="141">
        <f t="shared" si="34"/>
        <v>2.794E-3</v>
      </c>
      <c r="BR21" s="141">
        <f t="shared" si="35"/>
        <v>3.0479999999999998E-4</v>
      </c>
      <c r="BS21" s="141">
        <f t="shared" si="36"/>
        <v>1.3461999999999999E-3</v>
      </c>
      <c r="BT21" s="141">
        <f t="shared" si="37"/>
        <v>4.4703999999999994E-3</v>
      </c>
      <c r="BU21" s="141">
        <f t="shared" si="38"/>
        <v>2.2097999999999996E-3</v>
      </c>
      <c r="BV21">
        <f t="shared" si="39"/>
        <v>213.7179673457951</v>
      </c>
      <c r="BW21" s="1">
        <f t="shared" si="40"/>
        <v>6830.1588844381358</v>
      </c>
      <c r="BX21" s="1">
        <f t="shared" si="41"/>
        <v>33.289850024992589</v>
      </c>
      <c r="BY21" s="1">
        <f t="shared" si="42"/>
        <v>1.6369455544303999E-5</v>
      </c>
      <c r="BZ21" s="1">
        <f t="shared" si="43"/>
        <v>1.3344664845899997E-3</v>
      </c>
      <c r="CA21" s="1">
        <f t="shared" si="44"/>
        <v>-2.1929732563428998E-5</v>
      </c>
      <c r="CB21" s="4">
        <v>15</v>
      </c>
    </row>
    <row r="22" spans="1:80">
      <c r="A22" t="str">
        <f t="shared" si="45"/>
        <v/>
      </c>
      <c r="B22" s="142">
        <v>0.745</v>
      </c>
      <c r="C22" s="29">
        <f t="shared" si="0"/>
        <v>49.542499999999997</v>
      </c>
      <c r="D22" s="1">
        <v>1.7899999999999999E-4</v>
      </c>
      <c r="E22" s="1">
        <v>4240000</v>
      </c>
      <c r="F22" s="1">
        <v>64700</v>
      </c>
      <c r="G22" s="141">
        <v>0.28100000000000003</v>
      </c>
      <c r="H22" s="141">
        <v>0.108</v>
      </c>
      <c r="I22" s="141">
        <v>-3.5000000000000003E-2</v>
      </c>
      <c r="J22" s="141">
        <v>6.5000000000000002E-2</v>
      </c>
      <c r="K22" s="141">
        <v>0.17599999999999999</v>
      </c>
      <c r="L22" s="141">
        <v>8.6999999999999994E-2</v>
      </c>
      <c r="M22">
        <v>74337</v>
      </c>
      <c r="N22" s="1">
        <v>2380000</v>
      </c>
      <c r="O22" s="1">
        <v>12400</v>
      </c>
      <c r="P22" s="1">
        <v>3.1E-6</v>
      </c>
      <c r="Q22" s="1">
        <v>3.0600000000000001E-4</v>
      </c>
      <c r="R22" s="1">
        <v>6.7599999999999997E-7</v>
      </c>
      <c r="S22" s="4">
        <v>16</v>
      </c>
      <c r="AE22" s="101">
        <f t="shared" si="24"/>
        <v>6</v>
      </c>
      <c r="AF22" s="231">
        <f t="shared" si="47"/>
        <v>7</v>
      </c>
      <c r="AG22" s="29">
        <f t="shared" si="3"/>
        <v>-1.0550622740056244</v>
      </c>
      <c r="AH22" s="29">
        <f t="shared" si="4"/>
        <v>5.45</v>
      </c>
      <c r="AI22" s="141">
        <f t="shared" si="5"/>
        <v>0</v>
      </c>
      <c r="AJ22" s="152">
        <f t="shared" si="6"/>
        <v>0</v>
      </c>
      <c r="AK22" s="29"/>
      <c r="AL22" s="195">
        <f t="shared" si="48"/>
        <v>0.82599999999999996</v>
      </c>
      <c r="AM22" s="145">
        <f t="shared" si="48"/>
        <v>54.928999999999995</v>
      </c>
      <c r="AN22" s="144">
        <f t="shared" ref="AN22:BB22" si="49">AVERAGE(D24:D26)</f>
        <v>1.9100000000000001E-4</v>
      </c>
      <c r="AO22" s="144">
        <f t="shared" si="49"/>
        <v>3673333.3333333335</v>
      </c>
      <c r="AP22" s="144">
        <f t="shared" si="49"/>
        <v>42133.333333333336</v>
      </c>
      <c r="AQ22" s="146">
        <f t="shared" si="49"/>
        <v>0.21933333333333335</v>
      </c>
      <c r="AR22" s="146">
        <f t="shared" si="49"/>
        <v>7.8333333333333324E-2</v>
      </c>
      <c r="AS22" s="146">
        <f t="shared" si="49"/>
        <v>-0.15866666666666668</v>
      </c>
      <c r="AT22" s="146">
        <f t="shared" si="49"/>
        <v>3.9666666666666663E-2</v>
      </c>
      <c r="AU22" s="146">
        <f t="shared" si="49"/>
        <v>0.21866666666666668</v>
      </c>
      <c r="AV22" s="146">
        <f t="shared" si="49"/>
        <v>6.0999999999999999E-2</v>
      </c>
      <c r="AW22" s="194">
        <f t="shared" si="49"/>
        <v>44715.333333333336</v>
      </c>
      <c r="AX22" s="144">
        <f t="shared" si="49"/>
        <v>2130000</v>
      </c>
      <c r="AY22" s="144">
        <f t="shared" si="49"/>
        <v>11133.333333333334</v>
      </c>
      <c r="AZ22" s="144">
        <f t="shared" si="49"/>
        <v>2.3833333333333331E-6</v>
      </c>
      <c r="BA22" s="144">
        <f t="shared" si="49"/>
        <v>3.0400000000000002E-4</v>
      </c>
      <c r="BB22" s="144">
        <f t="shared" si="49"/>
        <v>-1.4100000000000001E-6</v>
      </c>
      <c r="BC22" s="4">
        <v>16</v>
      </c>
      <c r="BD22" s="18"/>
      <c r="BE22" s="18"/>
      <c r="BI22" s="47">
        <f t="shared" si="26"/>
        <v>-1.0550622740056244</v>
      </c>
      <c r="BJ22">
        <f t="shared" si="27"/>
        <v>0.13843</v>
      </c>
      <c r="BK22">
        <f t="shared" si="28"/>
        <v>0</v>
      </c>
      <c r="BL22" s="145">
        <f t="shared" si="29"/>
        <v>1.3062965999999998</v>
      </c>
      <c r="BM22" s="144">
        <f t="shared" si="30"/>
        <v>1.316898643006851</v>
      </c>
      <c r="BN22" s="144">
        <f t="shared" si="31"/>
        <v>16339800.733535333</v>
      </c>
      <c r="BO22" s="144">
        <f t="shared" si="32"/>
        <v>120.91485756204207</v>
      </c>
      <c r="BP22" s="146">
        <f t="shared" si="33"/>
        <v>5.5710666666666667E-3</v>
      </c>
      <c r="BQ22" s="146">
        <f t="shared" si="34"/>
        <v>1.9896666666666665E-3</v>
      </c>
      <c r="BR22" s="146">
        <f t="shared" si="35"/>
        <v>-4.0301333333333331E-3</v>
      </c>
      <c r="BS22" s="146">
        <f t="shared" si="36"/>
        <v>1.0075333333333333E-3</v>
      </c>
      <c r="BT22" s="146">
        <f t="shared" si="37"/>
        <v>5.5541333333333333E-3</v>
      </c>
      <c r="BU22" s="146">
        <f t="shared" si="38"/>
        <v>1.5493999999999998E-3</v>
      </c>
      <c r="BV22" s="194">
        <f t="shared" si="39"/>
        <v>128.32471900726026</v>
      </c>
      <c r="BW22" s="144">
        <f t="shared" si="40"/>
        <v>6112.7052201063989</v>
      </c>
      <c r="BX22" s="144">
        <f t="shared" si="41"/>
        <v>31.950603184906686</v>
      </c>
      <c r="BY22" s="144">
        <f t="shared" si="42"/>
        <v>1.0601594849798331E-5</v>
      </c>
      <c r="BZ22" s="144">
        <f t="shared" si="43"/>
        <v>1.3522593710511999E-3</v>
      </c>
      <c r="CA22" s="144">
        <f t="shared" si="44"/>
        <v>-6.271992477573E-6</v>
      </c>
      <c r="CB22" s="4">
        <v>16</v>
      </c>
    </row>
    <row r="23" spans="1:80" ht="15.6" customHeight="1">
      <c r="A23" t="str">
        <f t="shared" si="45"/>
        <v/>
      </c>
      <c r="B23" s="142">
        <v>0.75</v>
      </c>
      <c r="C23" s="29">
        <f t="shared" si="0"/>
        <v>49.875</v>
      </c>
      <c r="D23" s="1">
        <v>1.7699999999999999E-4</v>
      </c>
      <c r="E23" s="1">
        <v>4250000</v>
      </c>
      <c r="F23" s="1">
        <v>65000</v>
      </c>
      <c r="G23" s="141">
        <v>0.28000000000000003</v>
      </c>
      <c r="H23" s="141">
        <v>0.11</v>
      </c>
      <c r="I23" s="141">
        <v>1.2E-2</v>
      </c>
      <c r="J23" s="141">
        <v>5.2999999999999999E-2</v>
      </c>
      <c r="K23" s="141">
        <v>0.17599999999999999</v>
      </c>
      <c r="L23" s="141">
        <v>8.6999999999999994E-2</v>
      </c>
      <c r="M23">
        <v>74471</v>
      </c>
      <c r="N23" s="1">
        <v>2380000</v>
      </c>
      <c r="O23" s="1">
        <v>11600</v>
      </c>
      <c r="P23" s="1">
        <v>3.6799999999999999E-6</v>
      </c>
      <c r="Q23" s="1">
        <v>2.9999999999999997E-4</v>
      </c>
      <c r="R23" s="1">
        <v>-4.9300000000000002E-6</v>
      </c>
      <c r="S23" s="4">
        <v>17</v>
      </c>
      <c r="AE23" s="101">
        <f t="shared" si="24"/>
        <v>7</v>
      </c>
      <c r="AF23" s="231">
        <f t="shared" si="47"/>
        <v>8</v>
      </c>
      <c r="AG23" s="29">
        <f t="shared" si="3"/>
        <v>-1.406599799398194</v>
      </c>
      <c r="AH23" s="29">
        <f t="shared" si="4"/>
        <v>5.45</v>
      </c>
      <c r="AI23" s="141">
        <f t="shared" si="5"/>
        <v>0</v>
      </c>
      <c r="AJ23" s="152">
        <f t="shared" si="6"/>
        <v>0</v>
      </c>
      <c r="AK23" s="29"/>
      <c r="AL23" s="142">
        <f t="shared" ref="AL23:AM28" si="50">B27</f>
        <v>0.85099999999999998</v>
      </c>
      <c r="AM23" s="29">
        <f t="shared" si="50"/>
        <v>56.591499999999996</v>
      </c>
      <c r="AN23" s="1">
        <v>2.12E-4</v>
      </c>
      <c r="AO23" s="1">
        <v>3110000</v>
      </c>
      <c r="AP23" s="1">
        <v>27300</v>
      </c>
      <c r="AQ23" s="141">
        <v>0.315</v>
      </c>
      <c r="AR23" s="141">
        <v>6.0999999999999999E-2</v>
      </c>
      <c r="AS23" s="141">
        <v>-0.33600000000000002</v>
      </c>
      <c r="AT23" s="141">
        <v>2.3E-2</v>
      </c>
      <c r="AU23" s="141">
        <v>0.26</v>
      </c>
      <c r="AV23" s="141">
        <v>3.5000000000000003E-2</v>
      </c>
      <c r="AW23">
        <v>24143</v>
      </c>
      <c r="AX23" s="1">
        <v>1890000</v>
      </c>
      <c r="AY23" s="1">
        <v>7400</v>
      </c>
      <c r="AZ23" s="1">
        <v>1.6300000000000001E-6</v>
      </c>
      <c r="BA23" s="1">
        <v>3.01E-4</v>
      </c>
      <c r="BB23" s="1">
        <v>-5.9299999999999998E-7</v>
      </c>
      <c r="BC23" s="4">
        <v>17</v>
      </c>
      <c r="BD23" s="18"/>
      <c r="BE23" s="18"/>
      <c r="BI23" s="47">
        <f t="shared" si="26"/>
        <v>-1.406599799398194</v>
      </c>
      <c r="BJ23">
        <f t="shared" si="27"/>
        <v>0.13843</v>
      </c>
      <c r="BK23">
        <f t="shared" si="28"/>
        <v>0</v>
      </c>
      <c r="BL23" s="29">
        <f t="shared" si="29"/>
        <v>1.3485240999999999</v>
      </c>
      <c r="BM23" s="1">
        <f t="shared" si="30"/>
        <v>1.4616885461646723</v>
      </c>
      <c r="BN23" s="1">
        <f t="shared" si="31"/>
        <v>13833969.223582998</v>
      </c>
      <c r="BO23" s="1">
        <f t="shared" si="32"/>
        <v>78.345940145025665</v>
      </c>
      <c r="BP23" s="141">
        <f t="shared" si="33"/>
        <v>8.0009999999999994E-3</v>
      </c>
      <c r="BQ23" s="141">
        <f t="shared" si="34"/>
        <v>1.5493999999999998E-3</v>
      </c>
      <c r="BR23" s="141">
        <f t="shared" si="35"/>
        <v>-8.534400000000001E-3</v>
      </c>
      <c r="BS23" s="141">
        <f t="shared" si="36"/>
        <v>5.842E-4</v>
      </c>
      <c r="BT23" s="141">
        <f t="shared" si="37"/>
        <v>6.6039999999999996E-3</v>
      </c>
      <c r="BU23" s="141">
        <f t="shared" si="38"/>
        <v>8.8900000000000003E-4</v>
      </c>
      <c r="BV23">
        <f t="shared" si="39"/>
        <v>69.285935271844494</v>
      </c>
      <c r="BW23" s="1">
        <f t="shared" si="40"/>
        <v>5423.9497023479307</v>
      </c>
      <c r="BX23" s="1">
        <f t="shared" si="41"/>
        <v>21.236628464219415</v>
      </c>
      <c r="BY23" s="1">
        <f t="shared" si="42"/>
        <v>7.2506012329389994E-6</v>
      </c>
      <c r="BZ23" s="1">
        <f t="shared" si="43"/>
        <v>1.3389147062052998E-3</v>
      </c>
      <c r="CA23" s="1">
        <f t="shared" si="44"/>
        <v>-2.6377954178728998E-6</v>
      </c>
      <c r="CB23" s="4">
        <v>17</v>
      </c>
    </row>
    <row r="24" spans="1:80">
      <c r="A24" t="str">
        <f t="shared" si="45"/>
        <v/>
      </c>
      <c r="B24" s="195">
        <v>0.82599999999999996</v>
      </c>
      <c r="C24" s="145">
        <f t="shared" si="0"/>
        <v>54.928999999999995</v>
      </c>
      <c r="D24" s="144">
        <v>2.14E-4</v>
      </c>
      <c r="E24" s="144">
        <v>3670000</v>
      </c>
      <c r="F24" s="144">
        <v>42000</v>
      </c>
      <c r="G24" s="146">
        <v>0.218</v>
      </c>
      <c r="H24" s="146">
        <v>7.8E-2</v>
      </c>
      <c r="I24" s="146">
        <v>-0.316</v>
      </c>
      <c r="J24" s="146">
        <v>3.4000000000000002E-2</v>
      </c>
      <c r="K24" s="146">
        <v>0.218</v>
      </c>
      <c r="L24" s="146">
        <v>6.0999999999999999E-2</v>
      </c>
      <c r="M24" s="194">
        <v>44624</v>
      </c>
      <c r="N24" s="144">
        <v>2120000</v>
      </c>
      <c r="O24" s="144">
        <v>11000</v>
      </c>
      <c r="P24" s="144">
        <v>2.48E-6</v>
      </c>
      <c r="Q24" s="144">
        <v>3.1700000000000001E-4</v>
      </c>
      <c r="R24" s="144">
        <v>-2.1600000000000001E-6</v>
      </c>
      <c r="S24" s="4">
        <v>18</v>
      </c>
      <c r="AE24" s="101">
        <f t="shared" si="24"/>
        <v>7</v>
      </c>
      <c r="AF24" s="231">
        <f t="shared" si="47"/>
        <v>8</v>
      </c>
      <c r="AG24" s="29">
        <f t="shared" si="3"/>
        <v>-2.445717151454363</v>
      </c>
      <c r="AH24" s="29">
        <f t="shared" si="4"/>
        <v>5.45</v>
      </c>
      <c r="AI24" s="141">
        <f t="shared" si="5"/>
        <v>0</v>
      </c>
      <c r="AJ24" s="152">
        <f t="shared" si="6"/>
        <v>0</v>
      </c>
      <c r="AK24" s="29"/>
      <c r="AL24" s="142">
        <f t="shared" si="50"/>
        <v>0.92500000000000004</v>
      </c>
      <c r="AM24" s="29">
        <f t="shared" si="50"/>
        <v>61.512500000000003</v>
      </c>
      <c r="AN24" s="1">
        <v>1.7100000000000001E-4</v>
      </c>
      <c r="AO24" s="1">
        <v>3110000</v>
      </c>
      <c r="AP24" s="1">
        <v>27300</v>
      </c>
      <c r="AQ24" s="141">
        <v>0.317</v>
      </c>
      <c r="AR24" s="141">
        <v>0.06</v>
      </c>
      <c r="AS24" s="141">
        <v>-9.4E-2</v>
      </c>
      <c r="AT24" s="141">
        <v>3.7999999999999999E-2</v>
      </c>
      <c r="AU24" s="141">
        <v>0.26100000000000001</v>
      </c>
      <c r="AV24" s="141">
        <v>3.5000000000000003E-2</v>
      </c>
      <c r="AW24">
        <v>24198</v>
      </c>
      <c r="AX24" s="1">
        <v>1900000</v>
      </c>
      <c r="AY24" s="1">
        <v>7820</v>
      </c>
      <c r="AZ24" s="1">
        <v>1.42E-6</v>
      </c>
      <c r="BA24" s="1">
        <v>2.7999999999999998E-4</v>
      </c>
      <c r="BB24" s="1">
        <v>2.8200000000000001E-6</v>
      </c>
      <c r="BC24" s="4">
        <v>18</v>
      </c>
      <c r="BD24" s="18"/>
      <c r="BE24" s="18"/>
      <c r="BI24" s="47">
        <f t="shared" si="26"/>
        <v>-2.445717151454363</v>
      </c>
      <c r="BJ24">
        <f t="shared" si="27"/>
        <v>0.13843</v>
      </c>
      <c r="BK24">
        <f t="shared" si="28"/>
        <v>0</v>
      </c>
      <c r="BL24" s="29">
        <f t="shared" si="29"/>
        <v>1.4735175</v>
      </c>
      <c r="BM24" s="1">
        <f t="shared" si="30"/>
        <v>1.1790034971422592</v>
      </c>
      <c r="BN24" s="1">
        <f t="shared" si="31"/>
        <v>13833969.223582998</v>
      </c>
      <c r="BO24" s="1">
        <f t="shared" si="32"/>
        <v>78.345940145025665</v>
      </c>
      <c r="BP24" s="141">
        <f t="shared" si="33"/>
        <v>8.0517999999999996E-3</v>
      </c>
      <c r="BQ24" s="141">
        <f t="shared" si="34"/>
        <v>1.524E-3</v>
      </c>
      <c r="BR24" s="141">
        <f t="shared" si="35"/>
        <v>-2.3875999999999997E-3</v>
      </c>
      <c r="BS24" s="141">
        <f t="shared" si="36"/>
        <v>9.6519999999999993E-4</v>
      </c>
      <c r="BT24" s="141">
        <f t="shared" si="37"/>
        <v>6.6293999999999997E-3</v>
      </c>
      <c r="BU24" s="141">
        <f t="shared" si="38"/>
        <v>8.8900000000000003E-4</v>
      </c>
      <c r="BV24">
        <f t="shared" si="39"/>
        <v>69.443775077997486</v>
      </c>
      <c r="BW24" s="1">
        <f t="shared" si="40"/>
        <v>5452.6478489212004</v>
      </c>
      <c r="BX24" s="1">
        <f t="shared" si="41"/>
        <v>22.441950620296733</v>
      </c>
      <c r="BY24" s="1">
        <f t="shared" si="42"/>
        <v>6.3164746937259996E-6</v>
      </c>
      <c r="BZ24" s="1">
        <f t="shared" si="43"/>
        <v>1.2455020522839997E-3</v>
      </c>
      <c r="CA24" s="1">
        <f t="shared" si="44"/>
        <v>1.2543984955146E-5</v>
      </c>
      <c r="CB24" s="4">
        <v>18</v>
      </c>
    </row>
    <row r="25" spans="1:80">
      <c r="A25" t="str">
        <f t="shared" si="45"/>
        <v>same</v>
      </c>
      <c r="B25" s="195">
        <v>0.82599999999999996</v>
      </c>
      <c r="C25" s="145">
        <f t="shared" si="0"/>
        <v>54.928999999999995</v>
      </c>
      <c r="D25" s="144">
        <v>1.7899999999999999E-4</v>
      </c>
      <c r="E25" s="144">
        <v>3670000</v>
      </c>
      <c r="F25" s="144">
        <v>42100</v>
      </c>
      <c r="G25" s="146">
        <v>0.22</v>
      </c>
      <c r="H25" s="146">
        <v>7.6999999999999999E-2</v>
      </c>
      <c r="I25" s="146">
        <v>-9.6000000000000002E-2</v>
      </c>
      <c r="J25" s="146">
        <v>5.0999999999999997E-2</v>
      </c>
      <c r="K25" s="146">
        <v>0.219</v>
      </c>
      <c r="L25" s="146">
        <v>6.0999999999999999E-2</v>
      </c>
      <c r="M25" s="194">
        <v>44702</v>
      </c>
      <c r="N25" s="144">
        <v>2130000</v>
      </c>
      <c r="O25" s="144">
        <v>11500</v>
      </c>
      <c r="P25" s="144">
        <v>2.1399999999999998E-6</v>
      </c>
      <c r="Q25" s="144">
        <v>2.9799999999999998E-4</v>
      </c>
      <c r="R25" s="144">
        <v>1.9599999999999999E-6</v>
      </c>
      <c r="S25" s="4">
        <v>19</v>
      </c>
      <c r="AE25" s="101">
        <f t="shared" si="24"/>
        <v>7</v>
      </c>
      <c r="AF25" s="231">
        <f t="shared" si="47"/>
        <v>8</v>
      </c>
      <c r="AG25" s="29">
        <f t="shared" si="3"/>
        <v>-2.3755065195586762</v>
      </c>
      <c r="AH25" s="29">
        <f t="shared" si="4"/>
        <v>5.45</v>
      </c>
      <c r="AI25" s="141">
        <f t="shared" si="5"/>
        <v>0</v>
      </c>
      <c r="AJ25" s="152">
        <f t="shared" si="6"/>
        <v>0</v>
      </c>
      <c r="AK25" s="29"/>
      <c r="AL25" s="142">
        <f t="shared" si="50"/>
        <v>0.92</v>
      </c>
      <c r="AM25" s="29">
        <f t="shared" si="50"/>
        <v>61.18</v>
      </c>
      <c r="AN25" s="1">
        <v>1.84E-4</v>
      </c>
      <c r="AO25" s="1">
        <v>3130000</v>
      </c>
      <c r="AP25" s="1">
        <v>27500</v>
      </c>
      <c r="AQ25" s="141">
        <v>0.32300000000000001</v>
      </c>
      <c r="AR25" s="141">
        <v>5.5E-2</v>
      </c>
      <c r="AS25" s="141">
        <v>2.5000000000000001E-2</v>
      </c>
      <c r="AT25" s="141">
        <v>2.9000000000000001E-2</v>
      </c>
      <c r="AU25" s="141">
        <v>0.26700000000000002</v>
      </c>
      <c r="AV25" s="141">
        <v>3.4000000000000002E-2</v>
      </c>
      <c r="AW25">
        <v>24427</v>
      </c>
      <c r="AX25" s="1">
        <v>1930000</v>
      </c>
      <c r="AY25" s="1">
        <v>9770</v>
      </c>
      <c r="AZ25" s="1">
        <v>1.6500000000000001E-6</v>
      </c>
      <c r="BA25" s="1">
        <v>3.2200000000000002E-4</v>
      </c>
      <c r="BB25" s="1">
        <v>5.2900000000000002E-6</v>
      </c>
      <c r="BC25" s="4">
        <v>19</v>
      </c>
      <c r="BD25" s="18"/>
      <c r="BE25" s="18"/>
      <c r="BI25" s="47">
        <f t="shared" si="26"/>
        <v>-2.3755065195586762</v>
      </c>
      <c r="BJ25">
        <f t="shared" si="27"/>
        <v>0.13843</v>
      </c>
      <c r="BK25">
        <f t="shared" si="28"/>
        <v>0</v>
      </c>
      <c r="BL25" s="29">
        <f t="shared" si="29"/>
        <v>1.4650719999999999</v>
      </c>
      <c r="BM25" s="1">
        <f t="shared" si="30"/>
        <v>1.268635341954244</v>
      </c>
      <c r="BN25" s="1">
        <f t="shared" si="31"/>
        <v>13922933.655888999</v>
      </c>
      <c r="BO25" s="1">
        <f t="shared" si="32"/>
        <v>78.919903076491053</v>
      </c>
      <c r="BP25" s="141">
        <f t="shared" si="33"/>
        <v>8.2042E-3</v>
      </c>
      <c r="BQ25" s="141">
        <f t="shared" si="34"/>
        <v>1.397E-3</v>
      </c>
      <c r="BR25" s="141">
        <f t="shared" si="35"/>
        <v>6.3500000000000004E-4</v>
      </c>
      <c r="BS25" s="141">
        <f t="shared" si="36"/>
        <v>7.3660000000000002E-4</v>
      </c>
      <c r="BT25" s="141">
        <f t="shared" si="37"/>
        <v>6.7818000000000002E-3</v>
      </c>
      <c r="BU25" s="141">
        <f t="shared" si="38"/>
        <v>8.6360000000000007E-4</v>
      </c>
      <c r="BV25">
        <f t="shared" si="39"/>
        <v>70.100962634525345</v>
      </c>
      <c r="BW25" s="1">
        <f t="shared" si="40"/>
        <v>5538.7422886410086</v>
      </c>
      <c r="BX25" s="1">
        <f t="shared" si="41"/>
        <v>28.038089202084279</v>
      </c>
      <c r="BY25" s="1">
        <f t="shared" si="42"/>
        <v>7.3395656652449995E-6</v>
      </c>
      <c r="BZ25" s="1">
        <f t="shared" si="43"/>
        <v>1.4323273601265999E-3</v>
      </c>
      <c r="CA25" s="1">
        <f t="shared" si="44"/>
        <v>2.3531092344936997E-5</v>
      </c>
      <c r="CB25" s="4">
        <v>19</v>
      </c>
    </row>
    <row r="26" spans="1:80">
      <c r="A26" t="str">
        <f t="shared" si="45"/>
        <v>same</v>
      </c>
      <c r="B26" s="195">
        <v>0.82599999999999996</v>
      </c>
      <c r="C26" s="145">
        <f t="shared" si="0"/>
        <v>54.928999999999995</v>
      </c>
      <c r="D26" s="144">
        <v>1.8000000000000001E-4</v>
      </c>
      <c r="E26" s="144">
        <v>3680000</v>
      </c>
      <c r="F26" s="144">
        <v>42300</v>
      </c>
      <c r="G26" s="146">
        <v>0.22</v>
      </c>
      <c r="H26" s="146">
        <v>0.08</v>
      </c>
      <c r="I26" s="146">
        <v>-6.4000000000000001E-2</v>
      </c>
      <c r="J26" s="146">
        <v>3.4000000000000002E-2</v>
      </c>
      <c r="K26" s="146">
        <v>0.219</v>
      </c>
      <c r="L26" s="146">
        <v>6.0999999999999999E-2</v>
      </c>
      <c r="M26" s="194">
        <v>44820</v>
      </c>
      <c r="N26" s="144">
        <v>2140000</v>
      </c>
      <c r="O26" s="144">
        <v>10900</v>
      </c>
      <c r="P26" s="144">
        <v>2.5299999999999999E-6</v>
      </c>
      <c r="Q26" s="144">
        <v>2.9700000000000001E-4</v>
      </c>
      <c r="R26" s="144">
        <v>-4.0300000000000004E-6</v>
      </c>
      <c r="S26" s="4">
        <v>20</v>
      </c>
      <c r="AE26" s="101">
        <f t="shared" si="24"/>
        <v>7</v>
      </c>
      <c r="AF26" s="231">
        <f t="shared" si="47"/>
        <v>8</v>
      </c>
      <c r="AG26" s="29">
        <f t="shared" si="3"/>
        <v>-2.5159277833500502</v>
      </c>
      <c r="AH26" s="29">
        <f t="shared" si="4"/>
        <v>5.45</v>
      </c>
      <c r="AI26" s="141">
        <f t="shared" si="5"/>
        <v>0</v>
      </c>
      <c r="AJ26" s="152">
        <f t="shared" si="6"/>
        <v>0</v>
      </c>
      <c r="AK26" s="29"/>
      <c r="AL26" s="142">
        <f t="shared" si="50"/>
        <v>0.93</v>
      </c>
      <c r="AM26" s="29">
        <f t="shared" si="50"/>
        <v>61.845000000000006</v>
      </c>
      <c r="AN26" s="1">
        <v>1.74E-4</v>
      </c>
      <c r="AO26" s="1">
        <v>3120000</v>
      </c>
      <c r="AP26" s="1">
        <v>27600</v>
      </c>
      <c r="AQ26" s="141">
        <v>0.32800000000000001</v>
      </c>
      <c r="AR26" s="141">
        <v>6.0999999999999999E-2</v>
      </c>
      <c r="AS26" s="141">
        <v>-7.0000000000000007E-2</v>
      </c>
      <c r="AT26" s="141">
        <v>1.7999999999999999E-2</v>
      </c>
      <c r="AU26" s="141">
        <v>0.26100000000000001</v>
      </c>
      <c r="AV26" s="141">
        <v>3.5000000000000003E-2</v>
      </c>
      <c r="AW26">
        <v>24293</v>
      </c>
      <c r="AX26" s="1">
        <v>1900000</v>
      </c>
      <c r="AY26" s="1">
        <v>7390</v>
      </c>
      <c r="AZ26" s="1">
        <v>1.61E-6</v>
      </c>
      <c r="BA26" s="1">
        <v>2.8299999999999999E-4</v>
      </c>
      <c r="BB26" s="1">
        <v>-2.8700000000000001E-6</v>
      </c>
      <c r="BC26" s="4">
        <v>20</v>
      </c>
      <c r="BD26" s="18"/>
      <c r="BE26" s="18"/>
      <c r="BI26" s="47">
        <f t="shared" si="26"/>
        <v>-2.5159277833500502</v>
      </c>
      <c r="BJ26">
        <f t="shared" si="27"/>
        <v>0.13843</v>
      </c>
      <c r="BK26">
        <f t="shared" si="28"/>
        <v>0</v>
      </c>
      <c r="BL26" s="29">
        <f t="shared" si="29"/>
        <v>1.4819630000000001</v>
      </c>
      <c r="BM26" s="1">
        <f t="shared" si="30"/>
        <v>1.1996877690219481</v>
      </c>
      <c r="BN26" s="1">
        <f t="shared" si="31"/>
        <v>13878451.439735999</v>
      </c>
      <c r="BO26" s="1">
        <f t="shared" si="32"/>
        <v>79.206884542223747</v>
      </c>
      <c r="BP26" s="141">
        <f t="shared" si="33"/>
        <v>8.3312000000000004E-3</v>
      </c>
      <c r="BQ26" s="141">
        <f t="shared" si="34"/>
        <v>1.5493999999999998E-3</v>
      </c>
      <c r="BR26" s="141">
        <f t="shared" si="35"/>
        <v>-1.7780000000000001E-3</v>
      </c>
      <c r="BS26" s="141">
        <f t="shared" si="36"/>
        <v>4.5719999999999995E-4</v>
      </c>
      <c r="BT26" s="141">
        <f t="shared" si="37"/>
        <v>6.6293999999999997E-3</v>
      </c>
      <c r="BU26" s="141">
        <f t="shared" si="38"/>
        <v>8.8900000000000003E-4</v>
      </c>
      <c r="BV26">
        <f t="shared" si="39"/>
        <v>69.716407470443542</v>
      </c>
      <c r="BW26" s="1">
        <f t="shared" si="40"/>
        <v>5452.6478489212004</v>
      </c>
      <c r="BX26" s="1">
        <f t="shared" si="41"/>
        <v>21.207930317646142</v>
      </c>
      <c r="BY26" s="1">
        <f t="shared" si="42"/>
        <v>7.1616368006329994E-6</v>
      </c>
      <c r="BZ26" s="1">
        <f t="shared" si="43"/>
        <v>1.2588467171298998E-3</v>
      </c>
      <c r="CA26" s="1">
        <f t="shared" si="44"/>
        <v>-1.2766396035911E-5</v>
      </c>
      <c r="CB26" s="4">
        <v>20</v>
      </c>
    </row>
    <row r="27" spans="1:80">
      <c r="A27" t="str">
        <f t="shared" si="45"/>
        <v/>
      </c>
      <c r="B27" s="142">
        <v>0.85099999999999998</v>
      </c>
      <c r="C27" s="29">
        <f t="shared" si="0"/>
        <v>56.591499999999996</v>
      </c>
      <c r="D27" s="1">
        <v>2.12E-4</v>
      </c>
      <c r="E27" s="1">
        <v>3110000</v>
      </c>
      <c r="F27" s="1">
        <v>27300</v>
      </c>
      <c r="G27" s="141">
        <v>0.315</v>
      </c>
      <c r="H27" s="141">
        <v>6.0999999999999999E-2</v>
      </c>
      <c r="I27" s="141">
        <v>-0.33600000000000002</v>
      </c>
      <c r="J27" s="141">
        <v>2.3E-2</v>
      </c>
      <c r="K27" s="141">
        <v>0.26</v>
      </c>
      <c r="L27" s="141">
        <v>3.5000000000000003E-2</v>
      </c>
      <c r="M27">
        <v>24143</v>
      </c>
      <c r="N27" s="1">
        <v>1890000</v>
      </c>
      <c r="O27" s="1">
        <v>7400</v>
      </c>
      <c r="P27" s="1">
        <v>1.6300000000000001E-6</v>
      </c>
      <c r="Q27" s="1">
        <v>3.01E-4</v>
      </c>
      <c r="R27" s="1">
        <v>-5.9299999999999998E-7</v>
      </c>
      <c r="S27" s="4">
        <v>21</v>
      </c>
      <c r="AE27" s="101">
        <f t="shared" si="24"/>
        <v>7</v>
      </c>
      <c r="AF27" s="231">
        <f t="shared" si="47"/>
        <v>8</v>
      </c>
      <c r="AG27" s="29">
        <f t="shared" si="3"/>
        <v>-2.6001805416248747</v>
      </c>
      <c r="AH27" s="29">
        <f t="shared" si="4"/>
        <v>5.45</v>
      </c>
      <c r="AI27" s="141">
        <f t="shared" si="5"/>
        <v>0</v>
      </c>
      <c r="AJ27" s="152">
        <f t="shared" si="6"/>
        <v>0</v>
      </c>
      <c r="AK27" s="29"/>
      <c r="AL27" s="142">
        <f t="shared" si="50"/>
        <v>0.93600000000000005</v>
      </c>
      <c r="AM27" s="29">
        <f t="shared" si="50"/>
        <v>62.244000000000007</v>
      </c>
      <c r="AN27" s="1">
        <v>1.8799999999999999E-4</v>
      </c>
      <c r="AO27" s="1">
        <v>3130000</v>
      </c>
      <c r="AP27" s="1">
        <v>27900</v>
      </c>
      <c r="AQ27" s="141">
        <v>0.34399999999999997</v>
      </c>
      <c r="AR27" s="141">
        <v>6.6000000000000003E-2</v>
      </c>
      <c r="AS27" s="141">
        <v>7.6999999999999999E-2</v>
      </c>
      <c r="AT27" s="141">
        <v>2.7E-2</v>
      </c>
      <c r="AU27" s="141">
        <v>0.26800000000000002</v>
      </c>
      <c r="AV27" s="141">
        <v>3.5999999999999997E-2</v>
      </c>
      <c r="AW27">
        <v>24492</v>
      </c>
      <c r="AX27" s="1">
        <v>1950000</v>
      </c>
      <c r="AY27" s="1">
        <v>5840</v>
      </c>
      <c r="AZ27" s="1">
        <v>1.86E-6</v>
      </c>
      <c r="BA27" s="1">
        <v>3.4400000000000001E-4</v>
      </c>
      <c r="BB27" s="1">
        <v>-5.1800000000000004E-6</v>
      </c>
      <c r="BC27" s="4">
        <v>21</v>
      </c>
      <c r="BD27" s="18"/>
      <c r="BE27" s="18"/>
      <c r="BI27" s="47">
        <f t="shared" si="26"/>
        <v>-2.6001805416248747</v>
      </c>
      <c r="BJ27">
        <f t="shared" si="27"/>
        <v>0.13843</v>
      </c>
      <c r="BK27">
        <f t="shared" si="28"/>
        <v>0</v>
      </c>
      <c r="BL27" s="29">
        <f t="shared" si="29"/>
        <v>1.4920976000000001</v>
      </c>
      <c r="BM27" s="1">
        <f t="shared" si="30"/>
        <v>1.2962143711271621</v>
      </c>
      <c r="BN27" s="1">
        <f t="shared" si="31"/>
        <v>13922933.655888999</v>
      </c>
      <c r="BO27" s="1">
        <f t="shared" si="32"/>
        <v>80.067828939421844</v>
      </c>
      <c r="BP27" s="141">
        <f t="shared" si="33"/>
        <v>8.7375999999999981E-3</v>
      </c>
      <c r="BQ27" s="141">
        <f t="shared" si="34"/>
        <v>1.6764E-3</v>
      </c>
      <c r="BR27" s="141">
        <f t="shared" si="35"/>
        <v>1.9557999999999997E-3</v>
      </c>
      <c r="BS27" s="141">
        <f t="shared" si="36"/>
        <v>6.8579999999999997E-4</v>
      </c>
      <c r="BT27" s="141">
        <f t="shared" si="37"/>
        <v>6.8072000000000002E-3</v>
      </c>
      <c r="BU27" s="141">
        <f t="shared" si="38"/>
        <v>9.1439999999999989E-4</v>
      </c>
      <c r="BV27">
        <f t="shared" si="39"/>
        <v>70.2875005872516</v>
      </c>
      <c r="BW27" s="1">
        <f t="shared" si="40"/>
        <v>5596.138581787548</v>
      </c>
      <c r="BX27" s="1">
        <f t="shared" si="41"/>
        <v>16.759717598789372</v>
      </c>
      <c r="BY27" s="1">
        <f t="shared" si="42"/>
        <v>8.2736922044579985E-6</v>
      </c>
      <c r="BZ27" s="1">
        <f t="shared" si="43"/>
        <v>1.5301882356631999E-3</v>
      </c>
      <c r="CA27" s="1">
        <f t="shared" si="44"/>
        <v>-2.3041787967253998E-5</v>
      </c>
      <c r="CB27" s="4">
        <v>21</v>
      </c>
    </row>
    <row r="28" spans="1:80">
      <c r="A28" t="str">
        <f t="shared" si="45"/>
        <v/>
      </c>
      <c r="B28" s="142">
        <v>0.92500000000000004</v>
      </c>
      <c r="C28" s="29">
        <f t="shared" si="0"/>
        <v>61.512500000000003</v>
      </c>
      <c r="D28" s="1">
        <v>1.7100000000000001E-4</v>
      </c>
      <c r="E28" s="1">
        <v>3110000</v>
      </c>
      <c r="F28" s="1">
        <v>27300</v>
      </c>
      <c r="G28" s="141">
        <v>0.317</v>
      </c>
      <c r="H28" s="141">
        <v>0.06</v>
      </c>
      <c r="I28" s="141">
        <v>-9.4E-2</v>
      </c>
      <c r="J28" s="141">
        <v>3.7999999999999999E-2</v>
      </c>
      <c r="K28" s="141">
        <v>0.26100000000000001</v>
      </c>
      <c r="L28" s="141">
        <v>3.5000000000000003E-2</v>
      </c>
      <c r="M28">
        <v>24198</v>
      </c>
      <c r="N28" s="1">
        <v>1900000</v>
      </c>
      <c r="O28" s="1">
        <v>7820</v>
      </c>
      <c r="P28" s="1">
        <v>1.42E-6</v>
      </c>
      <c r="Q28" s="1">
        <v>2.7999999999999998E-4</v>
      </c>
      <c r="R28" s="1">
        <v>2.8200000000000001E-6</v>
      </c>
      <c r="S28" s="4">
        <v>22</v>
      </c>
      <c r="AE28" s="101">
        <f t="shared" si="24"/>
        <v>8</v>
      </c>
      <c r="AF28" s="231">
        <f t="shared" si="47"/>
        <v>9</v>
      </c>
      <c r="AG28" s="29">
        <f t="shared" si="3"/>
        <v>-3.3593530239099856</v>
      </c>
      <c r="AH28" s="29">
        <f t="shared" si="4"/>
        <v>3.7080148683946161</v>
      </c>
      <c r="AI28" s="141">
        <f t="shared" si="5"/>
        <v>1.5270337552742612</v>
      </c>
      <c r="AJ28" s="153">
        <f xml:space="preserve"> - TAN($Z$15*PI()/180) * (AL28 - $W$14)*$BF$2</f>
        <v>-1.5269211436771479</v>
      </c>
      <c r="AK28" s="29"/>
      <c r="AL28" s="195">
        <f t="shared" si="50"/>
        <v>0.99</v>
      </c>
      <c r="AM28" s="145">
        <f t="shared" si="50"/>
        <v>65.834999999999994</v>
      </c>
      <c r="AN28" s="144">
        <f t="shared" ref="AN28:BB28" si="51">AVERAGE(D32:D33)</f>
        <v>5.77E-5</v>
      </c>
      <c r="AO28" s="144">
        <f t="shared" si="51"/>
        <v>1290000</v>
      </c>
      <c r="AP28" s="144">
        <f t="shared" si="51"/>
        <v>4130</v>
      </c>
      <c r="AQ28" s="146">
        <f t="shared" si="51"/>
        <v>1.5885</v>
      </c>
      <c r="AR28" s="146">
        <f t="shared" si="51"/>
        <v>3.4000000000000002E-2</v>
      </c>
      <c r="AS28" s="146">
        <f t="shared" si="51"/>
        <v>1.8925000000000001</v>
      </c>
      <c r="AT28" s="146">
        <f t="shared" si="51"/>
        <v>2.0500000000000001E-2</v>
      </c>
      <c r="AU28" s="146">
        <f t="shared" si="51"/>
        <v>1.825</v>
      </c>
      <c r="AV28" s="146">
        <f t="shared" si="51"/>
        <v>2.35E-2</v>
      </c>
      <c r="AW28" s="194">
        <f t="shared" si="51"/>
        <v>2914</v>
      </c>
      <c r="AX28" s="144">
        <f t="shared" si="51"/>
        <v>439500</v>
      </c>
      <c r="AY28" s="144">
        <f t="shared" si="51"/>
        <v>3025</v>
      </c>
      <c r="AZ28" s="144">
        <f t="shared" si="51"/>
        <v>2.8299999999999998E-7</v>
      </c>
      <c r="BA28" s="144">
        <f t="shared" si="51"/>
        <v>5.3399999999999997E-5</v>
      </c>
      <c r="BB28" s="144">
        <f t="shared" si="51"/>
        <v>2.7405E-7</v>
      </c>
      <c r="BC28" s="4">
        <v>22</v>
      </c>
      <c r="BD28" s="18"/>
      <c r="BE28" s="18"/>
      <c r="BI28" s="47">
        <f t="shared" si="26"/>
        <v>-3.3593530239099856</v>
      </c>
      <c r="BJ28" s="49">
        <f t="shared" si="27"/>
        <v>9.4183577657223252E-2</v>
      </c>
      <c r="BK28" s="49">
        <f t="shared" si="28"/>
        <v>3.8786657383966236E-2</v>
      </c>
      <c r="BL28" s="145">
        <f t="shared" si="29"/>
        <v>1.5833089999999999</v>
      </c>
      <c r="BM28" s="144">
        <f t="shared" si="30"/>
        <v>0.39782749581934712</v>
      </c>
      <c r="BN28" s="144">
        <f t="shared" si="31"/>
        <v>5738205.8837369997</v>
      </c>
      <c r="BO28" s="144">
        <f t="shared" si="32"/>
        <v>11.852334534760296</v>
      </c>
      <c r="BP28" s="146">
        <f t="shared" si="33"/>
        <v>4.0347899999999999E-2</v>
      </c>
      <c r="BQ28" s="146">
        <f t="shared" si="34"/>
        <v>8.6360000000000007E-4</v>
      </c>
      <c r="BR28" s="146">
        <f t="shared" si="35"/>
        <v>4.8069500000000001E-2</v>
      </c>
      <c r="BS28" s="146">
        <f t="shared" si="36"/>
        <v>5.2070000000000003E-4</v>
      </c>
      <c r="BT28" s="146">
        <f t="shared" si="37"/>
        <v>4.6355E-2</v>
      </c>
      <c r="BU28" s="146">
        <f t="shared" si="38"/>
        <v>5.9689999999999993E-4</v>
      </c>
      <c r="BV28" s="194">
        <f t="shared" si="39"/>
        <v>8.3626399114507262</v>
      </c>
      <c r="BW28" s="144">
        <f t="shared" si="40"/>
        <v>1261.2835418951934</v>
      </c>
      <c r="BX28" s="144">
        <f t="shared" si="41"/>
        <v>8.6811893384140166</v>
      </c>
      <c r="BY28" s="144">
        <f t="shared" si="42"/>
        <v>1.2588467171298998E-6</v>
      </c>
      <c r="BZ28" s="144">
        <f t="shared" si="43"/>
        <v>2.3753503425701997E-4</v>
      </c>
      <c r="CA28" s="144">
        <f t="shared" si="44"/>
        <v>1.2190351336729649E-6</v>
      </c>
      <c r="CB28" s="4">
        <v>22</v>
      </c>
    </row>
    <row r="29" spans="1:80">
      <c r="A29" t="str">
        <f t="shared" si="45"/>
        <v/>
      </c>
      <c r="B29" s="142">
        <v>0.92</v>
      </c>
      <c r="C29" s="29">
        <f t="shared" si="0"/>
        <v>61.18</v>
      </c>
      <c r="D29" s="1">
        <v>1.84E-4</v>
      </c>
      <c r="E29" s="1">
        <v>3130000</v>
      </c>
      <c r="F29" s="1">
        <v>27500</v>
      </c>
      <c r="G29" s="141">
        <v>0.32300000000000001</v>
      </c>
      <c r="H29" s="141">
        <v>5.5E-2</v>
      </c>
      <c r="I29" s="141">
        <v>2.5000000000000001E-2</v>
      </c>
      <c r="J29" s="141">
        <v>2.9000000000000001E-2</v>
      </c>
      <c r="K29" s="141">
        <v>0.26700000000000002</v>
      </c>
      <c r="L29" s="141">
        <v>3.4000000000000002E-2</v>
      </c>
      <c r="M29">
        <v>24427</v>
      </c>
      <c r="N29" s="1">
        <v>1930000</v>
      </c>
      <c r="O29" s="1">
        <v>9770</v>
      </c>
      <c r="P29" s="1">
        <v>1.6500000000000001E-6</v>
      </c>
      <c r="Q29" s="1">
        <v>3.2200000000000002E-4</v>
      </c>
      <c r="R29" s="1">
        <v>5.2900000000000002E-6</v>
      </c>
      <c r="S29" s="4">
        <v>23</v>
      </c>
      <c r="AE29" s="101">
        <f t="shared" si="24"/>
        <v>8</v>
      </c>
      <c r="AF29" s="231">
        <f t="shared" si="47"/>
        <v>9</v>
      </c>
      <c r="AG29" s="29">
        <f t="shared" si="3"/>
        <v>-3.4718706047819969</v>
      </c>
      <c r="AH29" s="29">
        <f t="shared" si="4"/>
        <v>3.3576029736789232</v>
      </c>
      <c r="AI29" s="141">
        <f t="shared" si="5"/>
        <v>1.8342067510548523</v>
      </c>
      <c r="AJ29" s="153">
        <f t="shared" ref="AJ29:AJ30" si="52" xml:space="preserve"> - TAN($Z$15*PI()/180) * (AL29 - $W$14)*$BF$2</f>
        <v>-1.8340714868860293</v>
      </c>
      <c r="AK29" s="29"/>
      <c r="AL29" s="142">
        <f>B34</f>
        <v>0.998</v>
      </c>
      <c r="AM29" s="29">
        <f>C34</f>
        <v>66.367000000000004</v>
      </c>
      <c r="AN29" s="1">
        <v>4.2799999999999997E-5</v>
      </c>
      <c r="AO29" s="1">
        <v>953000</v>
      </c>
      <c r="AP29" s="1">
        <v>2530</v>
      </c>
      <c r="AQ29" s="141">
        <v>2.2490000000000001</v>
      </c>
      <c r="AR29" s="141">
        <v>2.8000000000000001E-2</v>
      </c>
      <c r="AS29" s="141">
        <v>2.3849999999999998</v>
      </c>
      <c r="AT29" s="141">
        <v>1.7000000000000001E-2</v>
      </c>
      <c r="AU29" s="141">
        <v>2.2570000000000001</v>
      </c>
      <c r="AV29" s="141">
        <v>0.02</v>
      </c>
      <c r="AW29">
        <v>1616</v>
      </c>
      <c r="AX29" s="1">
        <v>260000</v>
      </c>
      <c r="AY29" s="1">
        <v>1370</v>
      </c>
      <c r="AZ29" s="1">
        <v>1.79E-7</v>
      </c>
      <c r="BA29" s="1">
        <v>2.9499999999999999E-5</v>
      </c>
      <c r="BB29" s="1">
        <v>1.2200000000000001E-7</v>
      </c>
      <c r="BC29" s="4">
        <v>23</v>
      </c>
      <c r="BD29" s="18"/>
      <c r="BE29" s="18"/>
      <c r="BI29" s="47">
        <f t="shared" si="26"/>
        <v>-3.4718706047819969</v>
      </c>
      <c r="BJ29" s="49">
        <f t="shared" si="27"/>
        <v>8.5283115531444645E-2</v>
      </c>
      <c r="BK29" s="49">
        <f t="shared" si="28"/>
        <v>4.6588851476793244E-2</v>
      </c>
      <c r="BL29" s="29">
        <f t="shared" si="29"/>
        <v>1.5968218000000001</v>
      </c>
      <c r="BM29" s="1">
        <f t="shared" si="30"/>
        <v>0.29509561215022623</v>
      </c>
      <c r="BN29" s="1">
        <f t="shared" si="31"/>
        <v>4239155.1993808998</v>
      </c>
      <c r="BO29" s="1">
        <f t="shared" si="32"/>
        <v>7.2606310830371781</v>
      </c>
      <c r="BP29" s="141">
        <f t="shared" si="33"/>
        <v>5.7124599999999998E-2</v>
      </c>
      <c r="BQ29" s="141">
        <f t="shared" si="34"/>
        <v>7.1119999999999994E-4</v>
      </c>
      <c r="BR29" s="141">
        <f t="shared" si="35"/>
        <v>6.0578999999999994E-2</v>
      </c>
      <c r="BS29" s="141">
        <f t="shared" si="36"/>
        <v>4.3180000000000003E-4</v>
      </c>
      <c r="BT29" s="141">
        <f t="shared" si="37"/>
        <v>5.7327799999999998E-2</v>
      </c>
      <c r="BU29" s="141">
        <f t="shared" si="38"/>
        <v>5.0799999999999999E-4</v>
      </c>
      <c r="BV29">
        <f t="shared" si="39"/>
        <v>4.6376204862403476</v>
      </c>
      <c r="BW29" s="1">
        <f t="shared" si="40"/>
        <v>746.15181090500641</v>
      </c>
      <c r="BX29" s="1">
        <f t="shared" si="41"/>
        <v>3.9316460805379183</v>
      </c>
      <c r="BY29" s="1">
        <f t="shared" si="42"/>
        <v>7.9623166913869995E-7</v>
      </c>
      <c r="BZ29" s="1">
        <f t="shared" si="43"/>
        <v>1.3122253765134999E-4</v>
      </c>
      <c r="CA29" s="1">
        <f t="shared" si="44"/>
        <v>5.4268303706659997E-7</v>
      </c>
      <c r="CB29" s="4">
        <v>23</v>
      </c>
    </row>
    <row r="30" spans="1:80" ht="15" thickBot="1">
      <c r="A30" t="str">
        <f t="shared" si="45"/>
        <v/>
      </c>
      <c r="B30" s="142">
        <v>0.93</v>
      </c>
      <c r="C30" s="29">
        <f t="shared" si="0"/>
        <v>61.845000000000006</v>
      </c>
      <c r="D30" s="1">
        <v>1.74E-4</v>
      </c>
      <c r="E30" s="1">
        <v>3120000</v>
      </c>
      <c r="F30" s="1">
        <v>27600</v>
      </c>
      <c r="G30" s="141">
        <v>0.32800000000000001</v>
      </c>
      <c r="H30" s="141">
        <v>6.0999999999999999E-2</v>
      </c>
      <c r="I30" s="141">
        <v>-7.0000000000000007E-2</v>
      </c>
      <c r="J30" s="141">
        <v>1.7999999999999999E-2</v>
      </c>
      <c r="K30" s="141">
        <v>0.26100000000000001</v>
      </c>
      <c r="L30" s="141">
        <v>3.5000000000000003E-2</v>
      </c>
      <c r="M30">
        <v>24293</v>
      </c>
      <c r="N30" s="1">
        <v>1900000</v>
      </c>
      <c r="O30" s="1">
        <v>7390</v>
      </c>
      <c r="P30" s="1">
        <v>1.61E-6</v>
      </c>
      <c r="Q30" s="1">
        <v>2.8299999999999999E-4</v>
      </c>
      <c r="R30" s="1">
        <v>-2.8700000000000001E-6</v>
      </c>
      <c r="S30" s="4">
        <v>24</v>
      </c>
      <c r="AE30" s="102">
        <f t="shared" si="24"/>
        <v>9</v>
      </c>
      <c r="AF30" s="149"/>
      <c r="AG30" s="150">
        <f t="shared" si="3"/>
        <v>-3.5</v>
      </c>
      <c r="AH30" s="150">
        <f t="shared" si="4"/>
        <v>3.27</v>
      </c>
      <c r="AI30" s="129">
        <f t="shared" si="5"/>
        <v>1.911</v>
      </c>
      <c r="AJ30" s="154">
        <f t="shared" si="52"/>
        <v>-1.9108590726882495</v>
      </c>
      <c r="AK30" s="29"/>
      <c r="AL30" s="143">
        <f>B35</f>
        <v>1</v>
      </c>
      <c r="AM30" s="139">
        <f>C35</f>
        <v>66.5</v>
      </c>
      <c r="AN30" s="84">
        <f>AN29</f>
        <v>4.2799999999999997E-5</v>
      </c>
      <c r="AO30" s="84">
        <f t="shared" ref="AO30:BB30" si="53">AO29</f>
        <v>953000</v>
      </c>
      <c r="AP30" s="84">
        <f t="shared" si="53"/>
        <v>2530</v>
      </c>
      <c r="AQ30" s="140">
        <f t="shared" si="53"/>
        <v>2.2490000000000001</v>
      </c>
      <c r="AR30" s="140">
        <f t="shared" si="53"/>
        <v>2.8000000000000001E-2</v>
      </c>
      <c r="AS30" s="140">
        <f t="shared" si="53"/>
        <v>2.3849999999999998</v>
      </c>
      <c r="AT30" s="140">
        <f t="shared" si="53"/>
        <v>1.7000000000000001E-2</v>
      </c>
      <c r="AU30" s="140">
        <f t="shared" si="53"/>
        <v>2.2570000000000001</v>
      </c>
      <c r="AV30" s="140">
        <f t="shared" si="53"/>
        <v>0.02</v>
      </c>
      <c r="AW30" s="84">
        <f t="shared" si="53"/>
        <v>1616</v>
      </c>
      <c r="AX30" s="84">
        <f t="shared" si="53"/>
        <v>260000</v>
      </c>
      <c r="AY30" s="84">
        <f t="shared" si="53"/>
        <v>1370</v>
      </c>
      <c r="AZ30" s="84">
        <f t="shared" si="53"/>
        <v>1.79E-7</v>
      </c>
      <c r="BA30" s="84">
        <f t="shared" si="53"/>
        <v>2.9499999999999999E-5</v>
      </c>
      <c r="BB30" s="84">
        <f t="shared" si="53"/>
        <v>1.2200000000000001E-7</v>
      </c>
      <c r="BC30" s="5">
        <v>24</v>
      </c>
      <c r="BD30" s="18"/>
      <c r="BE30" s="18"/>
      <c r="BI30" s="48">
        <f t="shared" si="26"/>
        <v>-3.5</v>
      </c>
      <c r="BJ30" s="155">
        <f t="shared" si="27"/>
        <v>8.3057999999999993E-2</v>
      </c>
      <c r="BK30" s="155">
        <f t="shared" si="28"/>
        <v>4.8539399999999996E-2</v>
      </c>
      <c r="BL30" s="139">
        <f t="shared" si="29"/>
        <v>1.6001999999999998</v>
      </c>
      <c r="BM30" s="84">
        <f t="shared" si="30"/>
        <v>0.29509561215022623</v>
      </c>
      <c r="BN30" s="84">
        <f t="shared" si="31"/>
        <v>4239155.1993808998</v>
      </c>
      <c r="BO30" s="84">
        <f t="shared" si="32"/>
        <v>7.2606310830371781</v>
      </c>
      <c r="BP30" s="140">
        <f t="shared" si="33"/>
        <v>5.7124599999999998E-2</v>
      </c>
      <c r="BQ30" s="140">
        <f t="shared" si="34"/>
        <v>7.1119999999999994E-4</v>
      </c>
      <c r="BR30" s="140">
        <f t="shared" si="35"/>
        <v>6.0578999999999994E-2</v>
      </c>
      <c r="BS30" s="140">
        <f t="shared" si="36"/>
        <v>4.3180000000000003E-4</v>
      </c>
      <c r="BT30" s="140">
        <f t="shared" si="37"/>
        <v>5.7327799999999998E-2</v>
      </c>
      <c r="BU30" s="140">
        <f t="shared" si="38"/>
        <v>5.0799999999999999E-4</v>
      </c>
      <c r="BV30" s="84">
        <f t="shared" si="39"/>
        <v>4.6376204862403476</v>
      </c>
      <c r="BW30" s="84">
        <f t="shared" si="40"/>
        <v>746.15181090500641</v>
      </c>
      <c r="BX30" s="84">
        <f t="shared" si="41"/>
        <v>3.9316460805379183</v>
      </c>
      <c r="BY30" s="84">
        <f t="shared" si="42"/>
        <v>7.9623166913869995E-7</v>
      </c>
      <c r="BZ30" s="84">
        <f t="shared" si="43"/>
        <v>1.3122253765134999E-4</v>
      </c>
      <c r="CA30" s="84">
        <f t="shared" si="44"/>
        <v>5.4268303706659997E-7</v>
      </c>
      <c r="CB30" s="5">
        <v>24</v>
      </c>
    </row>
    <row r="31" spans="1:80">
      <c r="A31" t="str">
        <f t="shared" si="45"/>
        <v/>
      </c>
      <c r="B31" s="142">
        <v>0.93600000000000005</v>
      </c>
      <c r="C31" s="29">
        <f t="shared" si="0"/>
        <v>62.244000000000007</v>
      </c>
      <c r="D31" s="1">
        <v>1.8799999999999999E-4</v>
      </c>
      <c r="E31" s="1">
        <v>3130000</v>
      </c>
      <c r="F31" s="1">
        <v>27900</v>
      </c>
      <c r="G31" s="141">
        <v>0.34399999999999997</v>
      </c>
      <c r="H31" s="141">
        <v>6.6000000000000003E-2</v>
      </c>
      <c r="I31" s="141">
        <v>7.6999999999999999E-2</v>
      </c>
      <c r="J31" s="141">
        <v>2.7E-2</v>
      </c>
      <c r="K31" s="141">
        <v>0.26800000000000002</v>
      </c>
      <c r="L31" s="141">
        <v>3.5999999999999997E-2</v>
      </c>
      <c r="M31">
        <v>24492</v>
      </c>
      <c r="N31" s="1">
        <v>1950000</v>
      </c>
      <c r="O31" s="1">
        <v>5840</v>
      </c>
      <c r="P31" s="1">
        <v>1.86E-6</v>
      </c>
      <c r="Q31" s="1">
        <v>3.4400000000000001E-4</v>
      </c>
      <c r="R31" s="1">
        <v>-5.1800000000000004E-6</v>
      </c>
      <c r="S31" s="4">
        <v>25</v>
      </c>
      <c r="BD31" s="18"/>
      <c r="BE31" s="18"/>
    </row>
    <row r="32" spans="1:80">
      <c r="A32" t="str">
        <f t="shared" si="45"/>
        <v/>
      </c>
      <c r="B32" s="195">
        <v>0.99</v>
      </c>
      <c r="C32" s="145">
        <f t="shared" si="0"/>
        <v>65.834999999999994</v>
      </c>
      <c r="D32" s="144">
        <v>5.5999999999999999E-5</v>
      </c>
      <c r="E32" s="144">
        <v>1290000</v>
      </c>
      <c r="F32" s="144">
        <v>4120</v>
      </c>
      <c r="G32" s="146">
        <v>1.587</v>
      </c>
      <c r="H32" s="146">
        <v>3.3000000000000002E-2</v>
      </c>
      <c r="I32" s="146">
        <v>1.889</v>
      </c>
      <c r="J32" s="146">
        <v>1.7000000000000001E-2</v>
      </c>
      <c r="K32" s="146">
        <v>1.825</v>
      </c>
      <c r="L32" s="146">
        <v>2.3E-2</v>
      </c>
      <c r="M32" s="194">
        <v>2903</v>
      </c>
      <c r="N32" s="144">
        <v>438000</v>
      </c>
      <c r="O32" s="144">
        <v>3070</v>
      </c>
      <c r="P32" s="144">
        <v>2.67E-7</v>
      </c>
      <c r="Q32" s="144">
        <v>5.24E-5</v>
      </c>
      <c r="R32" s="144">
        <v>5.1799999999999995E-7</v>
      </c>
      <c r="S32" s="4">
        <v>26</v>
      </c>
      <c r="BD32" s="18"/>
      <c r="BE32" s="18"/>
    </row>
    <row r="33" spans="1:57">
      <c r="A33" t="str">
        <f t="shared" si="45"/>
        <v>same</v>
      </c>
      <c r="B33" s="195">
        <v>0.99</v>
      </c>
      <c r="C33" s="145">
        <f t="shared" si="0"/>
        <v>65.834999999999994</v>
      </c>
      <c r="D33" s="144">
        <v>5.94E-5</v>
      </c>
      <c r="E33" s="144">
        <v>1290000</v>
      </c>
      <c r="F33" s="144">
        <v>4140</v>
      </c>
      <c r="G33" s="146">
        <v>1.59</v>
      </c>
      <c r="H33" s="146">
        <v>3.5000000000000003E-2</v>
      </c>
      <c r="I33" s="146">
        <v>1.8959999999999999</v>
      </c>
      <c r="J33" s="146">
        <v>2.4E-2</v>
      </c>
      <c r="K33" s="146">
        <v>1.825</v>
      </c>
      <c r="L33" s="146">
        <v>2.4E-2</v>
      </c>
      <c r="M33" s="194">
        <v>2925</v>
      </c>
      <c r="N33" s="144">
        <v>441000</v>
      </c>
      <c r="O33" s="144">
        <v>2980</v>
      </c>
      <c r="P33" s="144">
        <v>2.9900000000000002E-7</v>
      </c>
      <c r="Q33" s="144">
        <v>5.4400000000000001E-5</v>
      </c>
      <c r="R33" s="144">
        <v>3.0099999999999998E-8</v>
      </c>
      <c r="S33" s="4">
        <v>27</v>
      </c>
      <c r="BD33" s="18"/>
      <c r="BE33" s="18"/>
    </row>
    <row r="34" spans="1:57">
      <c r="A34" t="str">
        <f t="shared" si="45"/>
        <v/>
      </c>
      <c r="B34" s="142">
        <v>0.998</v>
      </c>
      <c r="C34" s="29">
        <f t="shared" si="0"/>
        <v>66.367000000000004</v>
      </c>
      <c r="D34" s="1">
        <v>4.2799999999999997E-5</v>
      </c>
      <c r="E34" s="1">
        <v>953000</v>
      </c>
      <c r="F34" s="1">
        <v>2530</v>
      </c>
      <c r="G34" s="141">
        <v>2.2490000000000001</v>
      </c>
      <c r="H34" s="141">
        <v>2.8000000000000001E-2</v>
      </c>
      <c r="I34" s="141">
        <v>2.3849999999999998</v>
      </c>
      <c r="J34" s="141">
        <v>1.7000000000000001E-2</v>
      </c>
      <c r="K34" s="141">
        <v>2.2570000000000001</v>
      </c>
      <c r="L34" s="141">
        <v>0.02</v>
      </c>
      <c r="M34">
        <v>1616</v>
      </c>
      <c r="N34" s="1">
        <v>260000</v>
      </c>
      <c r="O34" s="1">
        <v>1370</v>
      </c>
      <c r="P34" s="1">
        <v>1.79E-7</v>
      </c>
      <c r="Q34" s="1">
        <v>2.9499999999999999E-5</v>
      </c>
      <c r="R34" s="1">
        <v>1.2200000000000001E-7</v>
      </c>
      <c r="S34" s="4">
        <v>28</v>
      </c>
      <c r="BD34" s="18"/>
      <c r="BE34" s="18"/>
    </row>
    <row r="35" spans="1:57" ht="15" thickBot="1">
      <c r="A35" t="str">
        <f t="shared" si="45"/>
        <v/>
      </c>
      <c r="B35" s="143">
        <v>1</v>
      </c>
      <c r="C35" s="139">
        <f t="shared" si="0"/>
        <v>66.5</v>
      </c>
      <c r="D35" s="84">
        <f>D34</f>
        <v>4.2799999999999997E-5</v>
      </c>
      <c r="E35" s="84">
        <f t="shared" ref="E35:R35" si="54">E34</f>
        <v>953000</v>
      </c>
      <c r="F35" s="84">
        <f t="shared" si="54"/>
        <v>2530</v>
      </c>
      <c r="G35" s="140">
        <f t="shared" si="54"/>
        <v>2.2490000000000001</v>
      </c>
      <c r="H35" s="140">
        <f t="shared" si="54"/>
        <v>2.8000000000000001E-2</v>
      </c>
      <c r="I35" s="140">
        <f t="shared" si="54"/>
        <v>2.3849999999999998</v>
      </c>
      <c r="J35" s="140">
        <f t="shared" si="54"/>
        <v>1.7000000000000001E-2</v>
      </c>
      <c r="K35" s="140">
        <f t="shared" si="54"/>
        <v>2.2570000000000001</v>
      </c>
      <c r="L35" s="140">
        <f t="shared" si="54"/>
        <v>0.02</v>
      </c>
      <c r="M35" s="84">
        <f t="shared" si="54"/>
        <v>1616</v>
      </c>
      <c r="N35" s="84">
        <f t="shared" si="54"/>
        <v>260000</v>
      </c>
      <c r="O35" s="84">
        <f t="shared" si="54"/>
        <v>1370</v>
      </c>
      <c r="P35" s="84">
        <f t="shared" si="54"/>
        <v>1.79E-7</v>
      </c>
      <c r="Q35" s="84">
        <f t="shared" si="54"/>
        <v>2.9499999999999999E-5</v>
      </c>
      <c r="R35" s="84">
        <f t="shared" si="54"/>
        <v>1.2200000000000001E-7</v>
      </c>
      <c r="S35" s="5">
        <v>29</v>
      </c>
    </row>
    <row r="36" spans="1:57">
      <c r="AI36" s="141"/>
      <c r="AK36">
        <f>(NASA_2_CORAL!CO6 + NASA!$BF$3*NASA!$BG$8) / (NASA!$BF$2*NASA!$BG$8)</f>
        <v>5.2631578947368425E-2</v>
      </c>
      <c r="AL36" s="1">
        <f xml:space="preserve"> - NASA_2_CORAL!CP6 / $BG$8</f>
        <v>0</v>
      </c>
    </row>
    <row r="37" spans="1:57">
      <c r="AK37">
        <f>(NASA_2_CORAL!CO7 + NASA!$BF$3*NASA!$BG$8) / (NASA!$BF$2*NASA!$BG$8)</f>
        <v>0.13983778343496536</v>
      </c>
      <c r="AL37" s="1">
        <f xml:space="preserve"> - NASA_2_CORAL!CP7 / $BG$8</f>
        <v>0</v>
      </c>
    </row>
    <row r="38" spans="1:57">
      <c r="AK38">
        <f>(NASA_2_CORAL!CO8 + NASA!$BF$3*NASA!$BG$8) / (NASA!$BF$2*NASA!$BG$8)</f>
        <v>0.19886329998223906</v>
      </c>
      <c r="AL38" s="1">
        <f xml:space="preserve"> - NASA_2_CORAL!CP8 / $BG$8</f>
        <v>0</v>
      </c>
    </row>
    <row r="39" spans="1:57">
      <c r="AK39">
        <f>(NASA_2_CORAL!CO9 + NASA!$BF$3*NASA!$BG$8) / (NASA!$BF$2*NASA!$BG$8)</f>
        <v>0.24912675389260552</v>
      </c>
      <c r="AL39" s="1">
        <f xml:space="preserve"> - NASA_2_CORAL!CP9 / $BG$8</f>
        <v>0</v>
      </c>
    </row>
    <row r="40" spans="1:57">
      <c r="AK40">
        <f>(NASA_2_CORAL!CO10 + NASA!$BF$3*NASA!$BG$8) / (NASA!$BF$2*NASA!$BG$8)</f>
        <v>0.29873897341779654</v>
      </c>
      <c r="AL40" s="1">
        <f xml:space="preserve"> - NASA_2_CORAL!CP10 / $BG$8</f>
        <v>0</v>
      </c>
    </row>
    <row r="41" spans="1:57">
      <c r="AK41">
        <f>(NASA_2_CORAL!CO11 + NASA!$BF$3*NASA!$BG$8) / (NASA!$BF$2*NASA!$BG$8)</f>
        <v>0.34941684920963828</v>
      </c>
      <c r="AL41" s="1">
        <f xml:space="preserve"> - NASA_2_CORAL!CP11 / $BG$8</f>
        <v>0</v>
      </c>
    </row>
    <row r="42" spans="1:57">
      <c r="AK42">
        <f>(NASA_2_CORAL!CO12 + NASA!$BF$3*NASA!$BG$8) / (NASA!$BF$2*NASA!$BG$8)</f>
        <v>0.39896986560890418</v>
      </c>
      <c r="AL42" s="1">
        <f xml:space="preserve"> - NASA_2_CORAL!CP12 / $BG$8</f>
        <v>0</v>
      </c>
    </row>
    <row r="43" spans="1:57">
      <c r="AK43">
        <f>(NASA_2_CORAL!CO13 + NASA!$BF$3*NASA!$BG$8) / (NASA!$BF$2*NASA!$BG$8)</f>
        <v>0.44947013202297087</v>
      </c>
      <c r="AL43" s="1">
        <f xml:space="preserve"> - NASA_2_CORAL!CP13 / $BG$8</f>
        <v>0</v>
      </c>
    </row>
    <row r="44" spans="1:57">
      <c r="AK44">
        <f>(NASA_2_CORAL!CO14 + NASA!$BF$3*NASA!$BG$8) / (NASA!$BF$2*NASA!$BG$8)</f>
        <v>0.49914155467408683</v>
      </c>
      <c r="AL44" s="1">
        <f xml:space="preserve"> - NASA_2_CORAL!CP14 / $BG$8</f>
        <v>0</v>
      </c>
    </row>
    <row r="45" spans="1:57">
      <c r="AK45">
        <f>(NASA_2_CORAL!CO15 + NASA!$BF$3*NASA!$BG$8) / (NASA!$BF$2*NASA!$BG$8)</f>
        <v>0.54887218045112784</v>
      </c>
      <c r="AL45" s="1">
        <f xml:space="preserve"> - NASA_2_CORAL!CP15 / $BG$8</f>
        <v>0</v>
      </c>
    </row>
    <row r="46" spans="1:57">
      <c r="AK46">
        <f>(NASA_2_CORAL!CO16 + NASA!$BF$3*NASA!$BG$8) / (NASA!$BF$2*NASA!$BG$8)</f>
        <v>0.59919483748741942</v>
      </c>
      <c r="AL46" s="1">
        <f xml:space="preserve"> - NASA_2_CORAL!CP16 / $BG$8</f>
        <v>0</v>
      </c>
    </row>
    <row r="47" spans="1:57">
      <c r="AK47">
        <f>(NASA_2_CORAL!CO17 + NASA!$BF$3*NASA!$BG$8) / (NASA!$BF$2*NASA!$BG$8)</f>
        <v>0.64945829139778588</v>
      </c>
      <c r="AL47" s="1">
        <f xml:space="preserve"> - NASA_2_CORAL!CP17 / $BG$8</f>
        <v>0</v>
      </c>
    </row>
    <row r="48" spans="1:57">
      <c r="AK48">
        <f>(NASA_2_CORAL!CO18 + NASA!$BF$3*NASA!$BG$8) / (NASA!$BF$2*NASA!$BG$8)</f>
        <v>0.6991297140489019</v>
      </c>
      <c r="AL48" s="1">
        <f xml:space="preserve"> - NASA_2_CORAL!CP18 / $BG$8</f>
        <v>0</v>
      </c>
    </row>
    <row r="49" spans="37:38">
      <c r="AK49">
        <f>(NASA_2_CORAL!CO19 + NASA!$BF$3*NASA!$BG$8) / (NASA!$BF$2*NASA!$BG$8)</f>
        <v>0.7488011367000178</v>
      </c>
      <c r="AL49" s="1">
        <f xml:space="preserve"> - NASA_2_CORAL!CP19 / $BG$8</f>
        <v>0</v>
      </c>
    </row>
    <row r="50" spans="37:38">
      <c r="AK50">
        <f>(NASA_2_CORAL!CO20 + NASA!$BF$3*NASA!$BG$8) / (NASA!$BF$2*NASA!$BG$8)</f>
        <v>0.7993606062400096</v>
      </c>
      <c r="AL50" s="1">
        <f xml:space="preserve"> - NASA_2_CORAL!CP20 / $BG$8</f>
        <v>0</v>
      </c>
    </row>
    <row r="51" spans="37:38">
      <c r="AK51">
        <f>(NASA_2_CORAL!CO21 + NASA!$BF$3*NASA!$BG$8) / (NASA!$BF$2*NASA!$BG$8)</f>
        <v>0.84879521638742528</v>
      </c>
      <c r="AL51" s="1">
        <f xml:space="preserve"> - NASA_2_CORAL!CP21 / $BG$8</f>
        <v>0</v>
      </c>
    </row>
    <row r="52" spans="37:38">
      <c r="AK52">
        <f>(NASA_2_CORAL!CO22 + NASA!$BF$3*NASA!$BG$8) / (NASA!$BF$2*NASA!$BG$8)</f>
        <v>0.89876265466816663</v>
      </c>
      <c r="AL52" s="1">
        <f xml:space="preserve"> - NASA_2_CORAL!CP22 / $BG$8</f>
        <v>0</v>
      </c>
    </row>
    <row r="53" spans="37:38">
      <c r="AK53">
        <f>(NASA_2_CORAL!CO23 + NASA!$BF$3*NASA!$BG$8) / (NASA!$BF$2*NASA!$BG$8)</f>
        <v>0.93002190515659233</v>
      </c>
      <c r="AL53" s="1">
        <f xml:space="preserve"> - NASA_2_CORAL!CP23 / $BG$8</f>
        <v>0</v>
      </c>
    </row>
    <row r="54" spans="37:38">
      <c r="AK54">
        <f>(NASA_2_CORAL!CO24 + NASA!$BF$3*NASA!$BG$8) / (NASA!$BF$2*NASA!$BG$8)</f>
        <v>0.95021017109703398</v>
      </c>
      <c r="AL54" s="1">
        <f xml:space="preserve"> - NASA_2_CORAL!CP24 / $BG$8</f>
        <v>0</v>
      </c>
    </row>
    <row r="55" spans="37:38">
      <c r="AK55">
        <f>(NASA_2_CORAL!CO25 + NASA!$BF$3*NASA!$BG$8) / (NASA!$BF$2*NASA!$BG$8)</f>
        <v>0.96974720265230008</v>
      </c>
      <c r="AL55" s="1">
        <f xml:space="preserve"> - NASA_2_CORAL!CP25 / $BG$8</f>
        <v>-0.75196850393700787</v>
      </c>
    </row>
    <row r="56" spans="37:38">
      <c r="AK56">
        <f>(NASA_2_CORAL!CO26 + NASA!$BF$3*NASA!$BG$8) / (NASA!$BF$2*NASA!$BG$8)</f>
        <v>0.98946184358534139</v>
      </c>
      <c r="AL56" s="1">
        <f xml:space="preserve"> - NASA_2_CORAL!CP26 / $BG$8</f>
        <v>-1.5039370078740157</v>
      </c>
    </row>
    <row r="57" spans="37:38">
      <c r="AK57">
        <f>(NASA_2_CORAL!CO27 + NASA!$BF$3*NASA!$BG$8) / (NASA!$BF$2*NASA!$BG$8)</f>
        <v>1.0000000000000002</v>
      </c>
      <c r="AL57" s="1">
        <f xml:space="preserve"> - NASA_2_CORAL!CP27 / $BG$8</f>
        <v>-1.911</v>
      </c>
    </row>
    <row r="58" spans="37:38">
      <c r="AL58" s="1"/>
    </row>
    <row r="59" spans="37:38">
      <c r="AL59" s="1"/>
    </row>
    <row r="60" spans="37:38">
      <c r="AL60" s="1"/>
    </row>
    <row r="61" spans="37:38">
      <c r="AL61" s="1"/>
    </row>
  </sheetData>
  <mergeCells count="10">
    <mergeCell ref="BI1:CB1"/>
    <mergeCell ref="AE1:AJ1"/>
    <mergeCell ref="BE6:BG6"/>
    <mergeCell ref="AL1:BC1"/>
    <mergeCell ref="BE1:BG1"/>
    <mergeCell ref="B1:S1"/>
    <mergeCell ref="C2:S2"/>
    <mergeCell ref="E3:S3"/>
    <mergeCell ref="V1:AC1"/>
    <mergeCell ref="W2:AC2"/>
  </mergeCells>
  <phoneticPr fontId="11"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061EB-86E5-408F-A9EB-91B38999A55C}">
  <dimension ref="A1:DI57"/>
  <sheetViews>
    <sheetView tabSelected="1" topLeftCell="AW1" zoomScale="40" zoomScaleNormal="40" workbookViewId="0">
      <selection activeCell="BF2" sqref="BF1:BF1048576"/>
    </sheetView>
  </sheetViews>
  <sheetFormatPr defaultRowHeight="14.4"/>
  <cols>
    <col min="1" max="3" width="14.88671875" customWidth="1"/>
    <col min="5" max="5" width="12.33203125" bestFit="1" customWidth="1"/>
    <col min="6" max="6" width="12" customWidth="1"/>
    <col min="7" max="7" width="10.88671875" customWidth="1"/>
    <col min="8" max="9" width="13.6640625" bestFit="1" customWidth="1"/>
    <col min="10" max="10" width="15.109375" bestFit="1" customWidth="1"/>
    <col min="11" max="12" width="14" bestFit="1" customWidth="1"/>
    <col min="13" max="13" width="11.44140625" bestFit="1" customWidth="1"/>
    <col min="14" max="14" width="14.21875" bestFit="1" customWidth="1"/>
    <col min="15" max="17" width="11.44140625" bestFit="1" customWidth="1"/>
    <col min="18" max="18" width="11.5546875" bestFit="1" customWidth="1"/>
    <col min="19" max="20" width="11.44140625" bestFit="1" customWidth="1"/>
    <col min="21" max="21" width="12.77734375" bestFit="1" customWidth="1"/>
    <col min="22" max="22" width="12.77734375" customWidth="1"/>
    <col min="23" max="24" width="11.44140625" customWidth="1"/>
    <col min="25" max="25" width="12.44140625" customWidth="1"/>
    <col min="26" max="26" width="13.109375" bestFit="1" customWidth="1"/>
    <col min="27" max="29" width="12.44140625" bestFit="1" customWidth="1"/>
    <col min="30" max="30" width="11.44140625" bestFit="1" customWidth="1"/>
    <col min="31" max="32" width="12.44140625" bestFit="1" customWidth="1"/>
    <col min="33" max="33" width="6" customWidth="1"/>
    <col min="34" max="34" width="28" bestFit="1" customWidth="1"/>
    <col min="35" max="35" width="19.109375" bestFit="1" customWidth="1"/>
    <col min="36" max="38" width="12.44140625" bestFit="1" customWidth="1"/>
    <col min="39" max="39" width="12" bestFit="1" customWidth="1"/>
    <col min="40" max="41" width="12.44140625" bestFit="1" customWidth="1"/>
    <col min="43" max="43" width="18.109375" bestFit="1" customWidth="1"/>
    <col min="44" max="44" width="14.109375" bestFit="1" customWidth="1"/>
    <col min="45" max="45" width="15.109375" bestFit="1" customWidth="1"/>
    <col min="46" max="48" width="12.88671875" bestFit="1" customWidth="1"/>
    <col min="49" max="49" width="13.44140625" bestFit="1" customWidth="1"/>
    <col min="50" max="51" width="12.88671875" bestFit="1" customWidth="1"/>
    <col min="52" max="52" width="16.33203125" bestFit="1" customWidth="1"/>
    <col min="53" max="53" width="17.44140625" bestFit="1" customWidth="1"/>
    <col min="54" max="54" width="15.77734375" bestFit="1" customWidth="1"/>
    <col min="55" max="55" width="14.33203125" bestFit="1" customWidth="1"/>
    <col min="56" max="56" width="16.33203125" bestFit="1" customWidth="1"/>
    <col min="57" max="57" width="15.109375" bestFit="1" customWidth="1"/>
    <col min="58" max="58" width="28" bestFit="1" customWidth="1"/>
    <col min="59" max="59" width="18.88671875" bestFit="1" customWidth="1"/>
    <col min="60" max="60" width="8.33203125" bestFit="1" customWidth="1"/>
    <col min="61" max="61" width="14.109375" bestFit="1" customWidth="1"/>
    <col min="62" max="62" width="15.109375" bestFit="1" customWidth="1"/>
    <col min="63" max="63" width="11.77734375" bestFit="1" customWidth="1"/>
    <col min="64" max="64" width="15.21875" bestFit="1" customWidth="1"/>
    <col min="65" max="65" width="14.109375" bestFit="1" customWidth="1"/>
    <col min="66" max="66" width="15" bestFit="1" customWidth="1"/>
    <col min="67" max="67" width="16.109375" bestFit="1" customWidth="1"/>
    <col min="68" max="69" width="15.109375" bestFit="1" customWidth="1"/>
    <col min="70" max="70" width="14.77734375" bestFit="1" customWidth="1"/>
    <col min="71" max="71" width="14.109375" bestFit="1" customWidth="1"/>
    <col min="72" max="72" width="15.21875" bestFit="1" customWidth="1"/>
    <col min="73" max="73" width="15" bestFit="1" customWidth="1"/>
    <col min="74" max="74" width="15.109375" bestFit="1" customWidth="1"/>
    <col min="75" max="75" width="14.109375" bestFit="1" customWidth="1"/>
    <col min="76" max="76" width="15.21875" bestFit="1" customWidth="1"/>
    <col min="77" max="77" width="14.77734375" bestFit="1" customWidth="1"/>
    <col min="78" max="78" width="15.109375" bestFit="1" customWidth="1"/>
    <col min="79" max="79" width="16.21875" bestFit="1" customWidth="1"/>
    <col min="80" max="80" width="19" bestFit="1" customWidth="1"/>
    <col min="81" max="81" width="19.77734375" bestFit="1" customWidth="1"/>
    <col min="82" max="82" width="9.33203125" customWidth="1"/>
    <col min="83" max="83" width="9.88671875" customWidth="1"/>
    <col min="84" max="88" width="15.109375" customWidth="1"/>
    <col min="89" max="89" width="10" bestFit="1" customWidth="1"/>
    <col min="90" max="90" width="6.5546875" bestFit="1" customWidth="1"/>
    <col min="92" max="92" width="7" bestFit="1" customWidth="1"/>
    <col min="93" max="93" width="8.5546875" bestFit="1" customWidth="1"/>
    <col min="94" max="95" width="10.44140625" bestFit="1" customWidth="1"/>
    <col min="96" max="96" width="11.44140625" bestFit="1" customWidth="1"/>
    <col min="97" max="101" width="11.21875" bestFit="1" customWidth="1"/>
    <col min="102" max="106" width="11.44140625" bestFit="1" customWidth="1"/>
    <col min="107" max="107" width="13" bestFit="1" customWidth="1"/>
    <col min="108" max="111" width="11.44140625" bestFit="1" customWidth="1"/>
    <col min="112" max="112" width="12" bestFit="1" customWidth="1"/>
    <col min="113" max="113" width="10.44140625" customWidth="1"/>
  </cols>
  <sheetData>
    <row r="1" spans="1:113" ht="15" thickBot="1">
      <c r="A1" s="262" t="s">
        <v>214</v>
      </c>
      <c r="B1" s="263"/>
      <c r="C1" s="263"/>
      <c r="D1" s="263"/>
      <c r="E1" s="263"/>
      <c r="F1" s="263"/>
      <c r="G1" s="263"/>
      <c r="H1" s="263"/>
      <c r="I1" s="263"/>
      <c r="J1" s="263"/>
      <c r="K1" s="263"/>
      <c r="L1" s="263"/>
      <c r="M1" s="263"/>
      <c r="N1" s="263"/>
      <c r="O1" s="263"/>
      <c r="P1" s="263"/>
      <c r="Q1" s="263"/>
      <c r="R1" s="263"/>
      <c r="S1" s="263"/>
      <c r="T1" s="264"/>
      <c r="U1" s="265" t="s">
        <v>246</v>
      </c>
      <c r="V1" s="266"/>
      <c r="W1" s="266"/>
      <c r="X1" s="267"/>
      <c r="Z1" s="275" t="s">
        <v>238</v>
      </c>
      <c r="AA1" s="276"/>
      <c r="AB1" s="276"/>
      <c r="AC1" s="276"/>
      <c r="AD1" s="276"/>
      <c r="AE1" s="276"/>
      <c r="AF1" s="276"/>
      <c r="AG1" s="276"/>
      <c r="AH1" s="276"/>
      <c r="AI1" s="276"/>
      <c r="AJ1" s="276"/>
      <c r="AK1" s="276"/>
      <c r="AL1" s="276"/>
      <c r="AM1" s="276"/>
      <c r="AN1" s="276"/>
      <c r="AO1" s="277"/>
      <c r="AP1" s="24"/>
      <c r="AQ1" s="275" t="s">
        <v>238</v>
      </c>
      <c r="AR1" s="276"/>
      <c r="AS1" s="276"/>
      <c r="AT1" s="276"/>
      <c r="AU1" s="276"/>
      <c r="AV1" s="276"/>
      <c r="AW1" s="276"/>
      <c r="AX1" s="276"/>
      <c r="AY1" s="276"/>
      <c r="AZ1" s="276"/>
      <c r="BA1" s="276"/>
      <c r="BB1" s="276"/>
      <c r="BC1" s="276"/>
      <c r="BD1" s="277"/>
      <c r="BF1" s="275" t="s">
        <v>238</v>
      </c>
      <c r="BG1" s="276"/>
      <c r="BH1" s="276"/>
      <c r="BI1" s="276"/>
      <c r="BJ1" s="276"/>
      <c r="BK1" s="276"/>
      <c r="BL1" s="276"/>
      <c r="BM1" s="276"/>
      <c r="BN1" s="276"/>
      <c r="BO1" s="276"/>
      <c r="BP1" s="276"/>
      <c r="BQ1" s="276"/>
      <c r="BR1" s="276"/>
      <c r="BS1" s="276"/>
      <c r="BT1" s="276"/>
      <c r="BU1" s="276"/>
      <c r="BV1" s="276"/>
      <c r="BW1" s="276"/>
      <c r="BX1" s="276"/>
      <c r="BY1" s="276"/>
      <c r="BZ1" s="276"/>
      <c r="CA1" s="276"/>
      <c r="CB1" s="276"/>
      <c r="CC1" s="276"/>
      <c r="CD1" s="277"/>
      <c r="CF1" s="278" t="s">
        <v>238</v>
      </c>
      <c r="CG1" s="279"/>
      <c r="CH1" s="279"/>
      <c r="CI1" s="280"/>
      <c r="CK1" s="268" t="s">
        <v>18</v>
      </c>
      <c r="CL1" s="269"/>
      <c r="CM1" s="269"/>
      <c r="CN1" s="269"/>
      <c r="CO1" s="269"/>
      <c r="CP1" s="269"/>
      <c r="CQ1" s="269"/>
      <c r="CR1" s="269"/>
      <c r="CS1" s="269"/>
      <c r="CT1" s="269"/>
      <c r="CU1" s="269"/>
      <c r="CV1" s="269"/>
      <c r="CW1" s="269"/>
      <c r="CX1" s="269"/>
      <c r="CY1" s="269"/>
      <c r="CZ1" s="269"/>
      <c r="DA1" s="269"/>
      <c r="DB1" s="269"/>
      <c r="DC1" s="269"/>
      <c r="DD1" s="269"/>
      <c r="DE1" s="269"/>
      <c r="DF1" s="269"/>
      <c r="DG1" s="269"/>
      <c r="DH1" s="269"/>
      <c r="DI1" s="270"/>
    </row>
    <row r="2" spans="1:113" ht="26.4" thickBot="1">
      <c r="A2" s="2" t="s">
        <v>1</v>
      </c>
      <c r="B2" s="285" t="s">
        <v>215</v>
      </c>
      <c r="C2" s="285"/>
      <c r="D2" s="285"/>
      <c r="E2" s="285"/>
      <c r="F2" s="285"/>
      <c r="G2" s="285"/>
      <c r="H2" s="285"/>
      <c r="I2" s="285"/>
      <c r="J2" s="285"/>
      <c r="K2" s="285"/>
      <c r="L2" s="285"/>
      <c r="M2" s="285"/>
      <c r="N2" s="285"/>
      <c r="O2" s="285"/>
      <c r="P2" s="285"/>
      <c r="Q2" s="285"/>
      <c r="R2" s="285"/>
      <c r="S2" s="285"/>
      <c r="T2" s="286"/>
      <c r="U2" s="166" t="s">
        <v>247</v>
      </c>
      <c r="V2" s="290" t="s">
        <v>248</v>
      </c>
      <c r="W2" s="14"/>
      <c r="X2" s="134"/>
      <c r="Y2" s="1"/>
      <c r="Z2" s="2" t="s">
        <v>4</v>
      </c>
      <c r="AA2" s="261" t="s">
        <v>5</v>
      </c>
      <c r="AB2" s="104" t="s">
        <v>1</v>
      </c>
      <c r="AC2" s="293" t="s">
        <v>309</v>
      </c>
      <c r="AD2" s="293"/>
      <c r="AE2" s="293" t="s">
        <v>308</v>
      </c>
      <c r="AF2" s="293"/>
      <c r="AH2" s="72" t="s">
        <v>241</v>
      </c>
      <c r="AI2" s="73" t="s">
        <v>242</v>
      </c>
      <c r="AJ2" s="281" t="s">
        <v>293</v>
      </c>
      <c r="AK2" s="281"/>
      <c r="AL2" s="281"/>
      <c r="AM2" s="281"/>
      <c r="AN2" s="281"/>
      <c r="AO2" s="282"/>
      <c r="AP2" s="24"/>
      <c r="AQ2" s="28" t="s">
        <v>5</v>
      </c>
      <c r="AR2" s="254" t="s">
        <v>292</v>
      </c>
      <c r="AS2" s="255" t="s">
        <v>242</v>
      </c>
      <c r="AU2" s="176" t="s">
        <v>262</v>
      </c>
      <c r="AV2" s="177" t="s">
        <v>263</v>
      </c>
      <c r="AW2" s="177">
        <v>1</v>
      </c>
      <c r="AX2" s="214" t="s">
        <v>264</v>
      </c>
      <c r="AY2" s="178"/>
      <c r="AZ2" s="179"/>
      <c r="BA2" s="1"/>
      <c r="BC2" s="1"/>
      <c r="BD2" s="3"/>
      <c r="BF2" s="72" t="s">
        <v>104</v>
      </c>
      <c r="BG2" s="73" t="s">
        <v>105</v>
      </c>
      <c r="BH2" t="s">
        <v>4</v>
      </c>
      <c r="BI2" s="175" t="s">
        <v>5</v>
      </c>
      <c r="BJ2" s="272" t="s">
        <v>59</v>
      </c>
      <c r="BK2" s="272"/>
      <c r="BL2" s="272"/>
      <c r="BM2" s="272"/>
      <c r="BN2" s="272"/>
      <c r="BO2" s="272"/>
      <c r="BP2" s="273" t="s">
        <v>266</v>
      </c>
      <c r="BQ2" s="273"/>
      <c r="BR2" s="273"/>
      <c r="BS2" s="273"/>
      <c r="BT2" s="273"/>
      <c r="BU2" s="273"/>
      <c r="BV2" s="274" t="s">
        <v>64</v>
      </c>
      <c r="BW2" s="274"/>
      <c r="BX2" s="274"/>
      <c r="BY2" s="274"/>
      <c r="BZ2" s="274"/>
      <c r="CA2" s="274"/>
      <c r="CB2" s="186"/>
      <c r="CC2" s="186"/>
      <c r="CD2" s="46"/>
      <c r="CF2" s="283" t="s">
        <v>113</v>
      </c>
      <c r="CG2" s="274"/>
      <c r="CH2" s="274"/>
      <c r="CI2" s="284"/>
      <c r="CK2" s="2" t="s">
        <v>4</v>
      </c>
      <c r="CL2" s="272" t="s">
        <v>286</v>
      </c>
      <c r="CM2" s="272"/>
      <c r="CN2" s="272"/>
      <c r="CO2" s="272"/>
      <c r="CP2" s="272"/>
      <c r="CQ2" s="272"/>
      <c r="CR2" s="272"/>
      <c r="CS2" s="272"/>
      <c r="CT2" s="272"/>
      <c r="CU2" s="272"/>
      <c r="CV2" s="272"/>
      <c r="CW2" s="272"/>
      <c r="CX2" s="271" t="s">
        <v>115</v>
      </c>
      <c r="CY2" s="271"/>
      <c r="DI2" s="3"/>
    </row>
    <row r="3" spans="1:113" ht="29.4" thickBot="1">
      <c r="A3" s="2" t="s">
        <v>0</v>
      </c>
      <c r="B3" s="196" t="s">
        <v>125</v>
      </c>
      <c r="C3" t="s">
        <v>6</v>
      </c>
      <c r="D3" t="s">
        <v>216</v>
      </c>
      <c r="Q3" t="s">
        <v>252</v>
      </c>
      <c r="R3" t="s">
        <v>252</v>
      </c>
      <c r="S3" t="s">
        <v>252</v>
      </c>
      <c r="T3" s="3"/>
      <c r="U3" s="21">
        <v>0.3</v>
      </c>
      <c r="V3" s="290"/>
      <c r="X3" s="3"/>
      <c r="Y3" s="1"/>
      <c r="Z3" s="2" t="s">
        <v>3</v>
      </c>
      <c r="AA3" s="287" t="s">
        <v>103</v>
      </c>
      <c r="AB3" s="288"/>
      <c r="AC3" s="288"/>
      <c r="AD3" s="288"/>
      <c r="AE3" s="288"/>
      <c r="AF3" s="289"/>
      <c r="AH3" s="74">
        <v>1</v>
      </c>
      <c r="AI3" s="75" t="s">
        <v>106</v>
      </c>
      <c r="AJ3" s="291" t="s">
        <v>100</v>
      </c>
      <c r="AK3" s="291"/>
      <c r="AL3" s="291"/>
      <c r="AM3" s="291"/>
      <c r="AN3" s="291"/>
      <c r="AO3" s="292"/>
      <c r="AP3" s="24"/>
      <c r="AQ3" s="90" t="s">
        <v>162</v>
      </c>
      <c r="AR3" s="88" t="s">
        <v>94</v>
      </c>
      <c r="AS3" s="256" t="s">
        <v>253</v>
      </c>
      <c r="AT3" s="256" t="s">
        <v>254</v>
      </c>
      <c r="AU3" s="181" t="s">
        <v>256</v>
      </c>
      <c r="AV3" s="257" t="s">
        <v>257</v>
      </c>
      <c r="AW3" s="89" t="s">
        <v>258</v>
      </c>
      <c r="AX3" s="257" t="s">
        <v>92</v>
      </c>
      <c r="AY3" s="257" t="s">
        <v>93</v>
      </c>
      <c r="AZ3" s="91" t="s">
        <v>255</v>
      </c>
      <c r="BA3" s="257" t="s">
        <v>95</v>
      </c>
      <c r="BB3" s="89" t="s">
        <v>96</v>
      </c>
      <c r="BC3" s="257" t="s">
        <v>259</v>
      </c>
      <c r="BD3" s="91" t="s">
        <v>260</v>
      </c>
      <c r="BF3" s="83">
        <f>$AH$3</f>
        <v>1</v>
      </c>
      <c r="BG3" s="76" t="s">
        <v>294</v>
      </c>
      <c r="BH3" t="s">
        <v>3</v>
      </c>
      <c r="BI3" t="s">
        <v>310</v>
      </c>
      <c r="BM3" s="187"/>
      <c r="BN3" s="281" t="s">
        <v>101</v>
      </c>
      <c r="BO3" s="281"/>
      <c r="BP3" s="281"/>
      <c r="BQ3" s="281"/>
      <c r="BR3" s="281"/>
      <c r="BT3" s="281" t="s">
        <v>101</v>
      </c>
      <c r="BU3" s="281"/>
      <c r="BV3" s="281"/>
      <c r="BW3" s="281"/>
      <c r="BX3" s="281"/>
      <c r="BZ3" s="281" t="s">
        <v>101</v>
      </c>
      <c r="CA3" s="281"/>
      <c r="CB3" s="281"/>
      <c r="CC3" s="281"/>
      <c r="CD3" s="3"/>
      <c r="CF3" s="299" t="s">
        <v>110</v>
      </c>
      <c r="CG3" s="300"/>
      <c r="CH3" s="300"/>
      <c r="CI3" s="301"/>
      <c r="CK3" s="2" t="s">
        <v>3</v>
      </c>
      <c r="CM3" s="297" t="s">
        <v>5</v>
      </c>
      <c r="CN3" s="297"/>
      <c r="CP3" s="298" t="s">
        <v>108</v>
      </c>
      <c r="CQ3" s="298"/>
      <c r="CX3" s="239" t="s">
        <v>114</v>
      </c>
      <c r="CY3" s="240">
        <v>1</v>
      </c>
      <c r="DI3" s="3"/>
    </row>
    <row r="4" spans="1:113" ht="15" thickBot="1">
      <c r="A4" s="136" t="s">
        <v>236</v>
      </c>
      <c r="B4" s="137" t="s">
        <v>67</v>
      </c>
      <c r="C4" s="137" t="s">
        <v>67</v>
      </c>
      <c r="D4" s="137" t="s">
        <v>67</v>
      </c>
      <c r="E4" s="137" t="s">
        <v>218</v>
      </c>
      <c r="F4" s="137" t="s">
        <v>219</v>
      </c>
      <c r="G4" s="137" t="s">
        <v>220</v>
      </c>
      <c r="H4" s="137" t="s">
        <v>67</v>
      </c>
      <c r="I4" s="137" t="s">
        <v>67</v>
      </c>
      <c r="J4" s="137" t="s">
        <v>67</v>
      </c>
      <c r="K4" s="137" t="s">
        <v>67</v>
      </c>
      <c r="L4" s="137" t="s">
        <v>67</v>
      </c>
      <c r="M4" s="137" t="s">
        <v>67</v>
      </c>
      <c r="N4" s="137" t="s">
        <v>220</v>
      </c>
      <c r="O4" s="137" t="s">
        <v>220</v>
      </c>
      <c r="P4" s="137" t="s">
        <v>220</v>
      </c>
      <c r="Q4" s="137" t="s">
        <v>221</v>
      </c>
      <c r="R4" s="137" t="s">
        <v>221</v>
      </c>
      <c r="S4" s="137" t="s">
        <v>221</v>
      </c>
      <c r="T4" s="3"/>
      <c r="U4" s="136" t="s">
        <v>219</v>
      </c>
      <c r="V4" s="137" t="s">
        <v>219</v>
      </c>
      <c r="W4" s="137" t="s">
        <v>230</v>
      </c>
      <c r="X4" s="158" t="s">
        <v>230</v>
      </c>
      <c r="Y4" s="1"/>
      <c r="Z4" s="30" t="s">
        <v>239</v>
      </c>
      <c r="AA4" s="171" t="s">
        <v>127</v>
      </c>
      <c r="AB4" s="172" t="s">
        <v>128</v>
      </c>
      <c r="AC4" s="172" t="s">
        <v>129</v>
      </c>
      <c r="AD4" s="172" t="s">
        <v>130</v>
      </c>
      <c r="AE4" s="172" t="s">
        <v>131</v>
      </c>
      <c r="AF4" s="173" t="s">
        <v>132</v>
      </c>
      <c r="AH4" s="172" t="s">
        <v>14</v>
      </c>
      <c r="AI4" s="172" t="s">
        <v>14</v>
      </c>
      <c r="AJ4" s="172" t="s">
        <v>119</v>
      </c>
      <c r="AK4" s="172" t="s">
        <v>118</v>
      </c>
      <c r="AL4" s="172" t="s">
        <v>120</v>
      </c>
      <c r="AM4" s="172" t="s">
        <v>121</v>
      </c>
      <c r="AN4" s="172" t="s">
        <v>122</v>
      </c>
      <c r="AO4" s="26" t="s">
        <v>123</v>
      </c>
      <c r="AP4" s="24"/>
      <c r="AQ4" s="2" t="s">
        <v>251</v>
      </c>
      <c r="AR4" s="258" t="s">
        <v>249</v>
      </c>
      <c r="AS4" s="252" t="s">
        <v>306</v>
      </c>
      <c r="AT4" s="253" t="s">
        <v>307</v>
      </c>
      <c r="AU4" s="2" t="s">
        <v>261</v>
      </c>
      <c r="AV4" t="s">
        <v>261</v>
      </c>
      <c r="AW4" t="s">
        <v>261</v>
      </c>
      <c r="AX4" s="259" t="s">
        <v>250</v>
      </c>
      <c r="AY4" s="259" t="s">
        <v>250</v>
      </c>
      <c r="AZ4" s="182" t="s">
        <v>250</v>
      </c>
      <c r="BA4" s="260"/>
      <c r="BB4" s="167"/>
      <c r="BC4" s="260"/>
      <c r="BD4" s="92"/>
      <c r="BF4" s="30" t="s">
        <v>14</v>
      </c>
      <c r="BG4" s="26" t="s">
        <v>14</v>
      </c>
      <c r="BI4" s="187" t="s">
        <v>43</v>
      </c>
      <c r="BJ4" s="172" t="s">
        <v>265</v>
      </c>
      <c r="BK4" s="172" t="s">
        <v>41</v>
      </c>
      <c r="BL4" s="172" t="s">
        <v>42</v>
      </c>
      <c r="BM4" s="187" t="s">
        <v>50</v>
      </c>
      <c r="BN4" s="43" t="s">
        <v>133</v>
      </c>
      <c r="BO4" s="43" t="s">
        <v>134</v>
      </c>
      <c r="BP4" s="187" t="s">
        <v>46</v>
      </c>
      <c r="BQ4" s="187" t="s">
        <v>47</v>
      </c>
      <c r="BR4" s="187" t="s">
        <v>49</v>
      </c>
      <c r="BS4" s="172" t="s">
        <v>51</v>
      </c>
      <c r="BT4" s="172" t="s">
        <v>52</v>
      </c>
      <c r="BU4" s="172" t="s">
        <v>53</v>
      </c>
      <c r="BV4" s="172" t="s">
        <v>46</v>
      </c>
      <c r="BW4" s="172" t="s">
        <v>47</v>
      </c>
      <c r="BX4" s="172" t="s">
        <v>49</v>
      </c>
      <c r="BY4" s="172" t="s">
        <v>48</v>
      </c>
      <c r="BZ4" s="172" t="s">
        <v>54</v>
      </c>
      <c r="CA4" s="172" t="s">
        <v>55</v>
      </c>
      <c r="CB4" s="172" t="s">
        <v>57</v>
      </c>
      <c r="CC4" s="172" t="s">
        <v>56</v>
      </c>
      <c r="CD4" s="3" t="s">
        <v>58</v>
      </c>
      <c r="CF4" s="294" t="s">
        <v>102</v>
      </c>
      <c r="CG4" s="295"/>
      <c r="CH4" s="295"/>
      <c r="CI4" s="296"/>
      <c r="CK4" s="20" t="s">
        <v>11</v>
      </c>
      <c r="CL4" s="241" t="s">
        <v>285</v>
      </c>
      <c r="CO4" s="242" t="s">
        <v>7</v>
      </c>
      <c r="DI4" s="3"/>
    </row>
    <row r="5" spans="1:113">
      <c r="A5" s="107" t="s">
        <v>224</v>
      </c>
      <c r="B5" s="45" t="s">
        <v>225</v>
      </c>
      <c r="C5" s="45" t="s">
        <v>91</v>
      </c>
      <c r="D5" s="45" t="s">
        <v>98</v>
      </c>
      <c r="E5" s="45" t="s">
        <v>124</v>
      </c>
      <c r="F5" s="45" t="s">
        <v>8</v>
      </c>
      <c r="G5" s="45" t="s">
        <v>188</v>
      </c>
      <c r="H5" s="45" t="s">
        <v>197</v>
      </c>
      <c r="I5" s="45" t="s">
        <v>191</v>
      </c>
      <c r="J5" s="45" t="s">
        <v>192</v>
      </c>
      <c r="K5" s="45" t="s">
        <v>193</v>
      </c>
      <c r="L5" s="45" t="s">
        <v>189</v>
      </c>
      <c r="M5" s="45" t="s">
        <v>190</v>
      </c>
      <c r="N5" s="45" t="s">
        <v>199</v>
      </c>
      <c r="O5" s="45" t="s">
        <v>200</v>
      </c>
      <c r="P5" s="45" t="s">
        <v>201</v>
      </c>
      <c r="Q5" s="45" t="s">
        <v>202</v>
      </c>
      <c r="R5" s="45" t="s">
        <v>203</v>
      </c>
      <c r="S5" s="45" t="s">
        <v>204</v>
      </c>
      <c r="T5" s="4" t="s">
        <v>288</v>
      </c>
      <c r="U5" s="107" t="s">
        <v>243</v>
      </c>
      <c r="V5" s="45" t="s">
        <v>243</v>
      </c>
      <c r="W5" s="45" t="s">
        <v>244</v>
      </c>
      <c r="X5" s="78" t="s">
        <v>245</v>
      </c>
      <c r="Y5" s="1"/>
      <c r="Z5" s="31" t="s">
        <v>240</v>
      </c>
      <c r="AA5" s="6" t="s">
        <v>15</v>
      </c>
      <c r="AB5" s="6" t="s">
        <v>19</v>
      </c>
      <c r="AC5" s="17" t="s">
        <v>16</v>
      </c>
      <c r="AD5" s="6" t="s">
        <v>20</v>
      </c>
      <c r="AE5" s="17" t="s">
        <v>17</v>
      </c>
      <c r="AF5" s="17" t="s">
        <v>21</v>
      </c>
      <c r="AH5" s="6" t="s">
        <v>23</v>
      </c>
      <c r="AI5" s="6" t="s">
        <v>22</v>
      </c>
      <c r="AJ5" s="6" t="s">
        <v>15</v>
      </c>
      <c r="AK5" s="6" t="s">
        <v>19</v>
      </c>
      <c r="AL5" s="6" t="s">
        <v>16</v>
      </c>
      <c r="AM5" s="6" t="s">
        <v>20</v>
      </c>
      <c r="AN5" s="6" t="s">
        <v>17</v>
      </c>
      <c r="AO5" s="9" t="s">
        <v>21</v>
      </c>
      <c r="AP5" s="24"/>
      <c r="AQ5" s="93" t="s">
        <v>238</v>
      </c>
      <c r="AR5" s="6" t="s">
        <v>137</v>
      </c>
      <c r="AS5" s="251" t="s">
        <v>107</v>
      </c>
      <c r="AT5" s="251" t="s">
        <v>126</v>
      </c>
      <c r="AU5" s="31" t="s">
        <v>135</v>
      </c>
      <c r="AV5" s="32" t="s">
        <v>70</v>
      </c>
      <c r="AW5" s="17" t="s">
        <v>136</v>
      </c>
      <c r="AX5" s="32" t="s">
        <v>10</v>
      </c>
      <c r="AY5" s="32" t="s">
        <v>139</v>
      </c>
      <c r="AZ5" s="33" t="s">
        <v>138</v>
      </c>
      <c r="BA5" s="32" t="s">
        <v>9</v>
      </c>
      <c r="BB5" s="17" t="s">
        <v>76</v>
      </c>
      <c r="BC5" s="32" t="s">
        <v>84</v>
      </c>
      <c r="BD5" s="33" t="s">
        <v>85</v>
      </c>
      <c r="BF5" s="8" t="s">
        <v>111</v>
      </c>
      <c r="BG5" s="33" t="s">
        <v>112</v>
      </c>
      <c r="BH5" s="38" t="s">
        <v>24</v>
      </c>
      <c r="BI5" s="39" t="s">
        <v>44</v>
      </c>
      <c r="BJ5" s="39" t="s">
        <v>45</v>
      </c>
      <c r="BK5" s="39" t="s">
        <v>25</v>
      </c>
      <c r="BL5" s="40" t="s">
        <v>26</v>
      </c>
      <c r="BM5" s="40" t="s">
        <v>28</v>
      </c>
      <c r="BN5" s="39" t="s">
        <v>27</v>
      </c>
      <c r="BO5" s="40" t="s">
        <v>40</v>
      </c>
      <c r="BP5" s="39" t="s">
        <v>29</v>
      </c>
      <c r="BQ5" s="39" t="s">
        <v>30</v>
      </c>
      <c r="BR5" s="40" t="s">
        <v>31</v>
      </c>
      <c r="BS5" s="39" t="s">
        <v>32</v>
      </c>
      <c r="BT5" s="39" t="s">
        <v>60</v>
      </c>
      <c r="BU5" s="40" t="s">
        <v>33</v>
      </c>
      <c r="BV5" s="39" t="s">
        <v>34</v>
      </c>
      <c r="BW5" s="39" t="s">
        <v>35</v>
      </c>
      <c r="BX5" s="40" t="s">
        <v>61</v>
      </c>
      <c r="BY5" s="40" t="s">
        <v>36</v>
      </c>
      <c r="BZ5" s="39" t="s">
        <v>37</v>
      </c>
      <c r="CA5" s="40" t="s">
        <v>38</v>
      </c>
      <c r="CB5" s="39" t="s">
        <v>39</v>
      </c>
      <c r="CC5" s="40" t="s">
        <v>62</v>
      </c>
      <c r="CD5" s="41" t="s">
        <v>289</v>
      </c>
      <c r="CF5" s="31" t="s">
        <v>116</v>
      </c>
      <c r="CG5" s="17" t="s">
        <v>117</v>
      </c>
      <c r="CH5" s="32" t="s">
        <v>84</v>
      </c>
      <c r="CI5" s="33" t="s">
        <v>85</v>
      </c>
      <c r="CJ5" s="113"/>
      <c r="CK5" s="21" t="s">
        <v>12</v>
      </c>
      <c r="CL5" s="187" t="s">
        <v>13</v>
      </c>
      <c r="CN5" s="51" t="s">
        <v>24</v>
      </c>
      <c r="CO5" s="50" t="s">
        <v>45</v>
      </c>
      <c r="CP5" s="191" t="s">
        <v>25</v>
      </c>
      <c r="CQ5" s="50" t="s">
        <v>26</v>
      </c>
      <c r="CR5" s="50" t="s">
        <v>28</v>
      </c>
      <c r="CS5" s="191" t="s">
        <v>27</v>
      </c>
      <c r="CT5" s="50" t="s">
        <v>40</v>
      </c>
      <c r="CU5" s="191" t="s">
        <v>297</v>
      </c>
      <c r="CV5" s="191" t="s">
        <v>298</v>
      </c>
      <c r="CW5" s="50" t="s">
        <v>299</v>
      </c>
      <c r="CX5" s="191" t="s">
        <v>32</v>
      </c>
      <c r="CY5" s="191" t="s">
        <v>300</v>
      </c>
      <c r="CZ5" s="50" t="s">
        <v>33</v>
      </c>
      <c r="DA5" s="191" t="s">
        <v>301</v>
      </c>
      <c r="DB5" s="191" t="s">
        <v>302</v>
      </c>
      <c r="DC5" s="50" t="s">
        <v>303</v>
      </c>
      <c r="DD5" s="50" t="s">
        <v>304</v>
      </c>
      <c r="DE5" s="191" t="s">
        <v>37</v>
      </c>
      <c r="DF5" s="191" t="s">
        <v>38</v>
      </c>
      <c r="DG5" s="191" t="s">
        <v>39</v>
      </c>
      <c r="DH5" s="50" t="s">
        <v>305</v>
      </c>
      <c r="DI5" s="52" t="s">
        <v>289</v>
      </c>
    </row>
    <row r="6" spans="1:113">
      <c r="A6" s="47">
        <f>NASA!BI7</f>
        <v>8.1999999999999993</v>
      </c>
      <c r="B6">
        <f>NASA!BJ7</f>
        <v>0.13843</v>
      </c>
      <c r="C6">
        <f>NASA!BK7</f>
        <v>0</v>
      </c>
      <c r="D6" s="145">
        <f>NASA!BL7</f>
        <v>0.14732000000000001</v>
      </c>
      <c r="E6" s="144">
        <f>NASA!BM7</f>
        <v>2.0546376733824165</v>
      </c>
      <c r="F6" s="144">
        <f>NASA!BN7</f>
        <v>57826880.998899996</v>
      </c>
      <c r="G6" s="144">
        <f>NASA!BO7</f>
        <v>786.32921610758365</v>
      </c>
      <c r="H6" s="146">
        <f>NASA!BP7</f>
        <v>3.2258E-3</v>
      </c>
      <c r="I6" s="146">
        <f>NASA!BQ7</f>
        <v>3.0479999999999998E-4</v>
      </c>
      <c r="J6" s="146">
        <f>NASA!BR7</f>
        <v>3.2486599999999997E-2</v>
      </c>
      <c r="K6" s="146">
        <f>NASA!BS7</f>
        <v>-6.8579999999999997E-4</v>
      </c>
      <c r="L6" s="146">
        <f>NASA!BT7</f>
        <v>-2.5400000000000001E-5</v>
      </c>
      <c r="M6" s="146">
        <f>NASA!BU7</f>
        <v>-5.0800000000000002E-5</v>
      </c>
      <c r="N6" s="144">
        <f>NASA!BV7</f>
        <v>828.97179210080469</v>
      </c>
      <c r="O6" s="144">
        <f>NASA!BW7</f>
        <v>20289.589627301521</v>
      </c>
      <c r="P6" s="144">
        <f>NASA!BX7</f>
        <v>94.703883691789272</v>
      </c>
      <c r="Q6" s="144">
        <f>NASA!BY7</f>
        <v>3.2027195630159997E-5</v>
      </c>
      <c r="R6" s="144">
        <f>NASA!BZ7</f>
        <v>4.0300887834618E-3</v>
      </c>
      <c r="S6" s="144">
        <f>NASA!CA7</f>
        <v>7.2061190167860002E-5</v>
      </c>
      <c r="T6" s="4">
        <f>NASA!CB7</f>
        <v>1</v>
      </c>
      <c r="U6" s="159">
        <f>F6/ (2*(1+$U$3))</f>
        <v>22241108.076499999</v>
      </c>
      <c r="V6" s="247">
        <v>2091863.3865251299</v>
      </c>
      <c r="W6" s="248">
        <v>0.87</v>
      </c>
      <c r="X6" s="160">
        <v>0.77</v>
      </c>
      <c r="Y6" s="1"/>
      <c r="Z6" s="168">
        <f>C6</f>
        <v>0</v>
      </c>
      <c r="AA6" s="156">
        <f>J6</f>
        <v>3.2486599999999997E-2</v>
      </c>
      <c r="AB6" s="1">
        <f>K6</f>
        <v>-6.8579999999999997E-4</v>
      </c>
      <c r="AC6" s="1">
        <f t="shared" ref="AC6:AC29" si="0">H6</f>
        <v>3.2258E-3</v>
      </c>
      <c r="AD6" s="1">
        <f t="shared" ref="AD6:AD29" si="1">I6</f>
        <v>3.0479999999999998E-4</v>
      </c>
      <c r="AE6" s="1">
        <f t="shared" ref="AE6:AE29" si="2">L6</f>
        <v>-2.5400000000000001E-5</v>
      </c>
      <c r="AF6" s="15">
        <f t="shared" ref="AF6:AF29" si="3">M6</f>
        <v>-5.0800000000000002E-5</v>
      </c>
      <c r="AH6" s="42">
        <f t="shared" ref="AH6:AH29" si="4">IF($AH$3=1, A6, 0)</f>
        <v>8.1999999999999993</v>
      </c>
      <c r="AI6" s="42">
        <f>RADIANS(AH6)</f>
        <v>0.143116998663535</v>
      </c>
      <c r="AJ6" s="7">
        <f>AA6*COS($AI6) - AB6*SIN($AI6)</f>
        <v>3.2252279425744212E-2</v>
      </c>
      <c r="AK6" s="7">
        <f xml:space="preserve"> AA6*SIN($AI6) + AB6*COS($AI6)</f>
        <v>3.9547405785609118E-3</v>
      </c>
      <c r="AL6" s="7">
        <f>AC6*COS($AI6) - AD6*SIN($AI6)</f>
        <v>3.1493468666689058E-3</v>
      </c>
      <c r="AM6" s="7">
        <f xml:space="preserve"> AC6*SIN($AI6) + AD6*COS($AI6)</f>
        <v>7.6177620952793345E-4</v>
      </c>
      <c r="AN6" s="7">
        <f xml:space="preserve"> AE6*COS($AI6) - AF6*SIN($AI6)</f>
        <v>-1.7894766432817848E-5</v>
      </c>
      <c r="AO6" s="23">
        <f xml:space="preserve"> AE6*SIN($AI6) + AF6*COS($AI6)</f>
        <v>-5.3903407446235675E-5</v>
      </c>
      <c r="AP6" s="24"/>
      <c r="AQ6" s="10"/>
      <c r="AR6" s="164">
        <f>G6</f>
        <v>786.32921610758365</v>
      </c>
      <c r="AS6" s="180" cm="1">
        <f t="array" ref="AS6">W6 * _xlfn.IFS( $AT$4="P", $U6,  $AT$4="A", $V6)</f>
        <v>1819921.1462768631</v>
      </c>
      <c r="AT6" s="180" cm="1">
        <f t="array" ref="AT6">X6 * _xlfn.IFS( $AT$4="P", $U6,  $AT$4="A", $V6)</f>
        <v>1610734.8076243501</v>
      </c>
      <c r="AU6" s="183">
        <f>Q6 + (E6*AK6^2)*$AW$2</f>
        <v>6.4161673456464963E-5</v>
      </c>
      <c r="AV6" s="180">
        <f>R6 + (E6*AJ6^2)*$AW$2</f>
        <v>6.1673424682230481E-3</v>
      </c>
      <c r="AW6" s="15">
        <f>S6 + (E6*AJ6*AK6)*$AW$2</f>
        <v>3.3412898891877266E-4</v>
      </c>
      <c r="AX6" s="1">
        <f>N6 + (F6*AO6^2)*$AW$2</f>
        <v>829.13981257554917</v>
      </c>
      <c r="AY6" s="1">
        <f>O6 + (F6*AN6^2)*$AW$2</f>
        <v>20289.6081447795</v>
      </c>
      <c r="AZ6" s="67">
        <f>P6 + (F6*AN6*AO6)*$AW$2</f>
        <v>94.759662858523455</v>
      </c>
      <c r="BA6" s="1">
        <f>$F6*AO6</f>
        <v>-3117.0659278286903</v>
      </c>
      <c r="BB6" s="15">
        <f>$F6*AN6</f>
        <v>-1034.7985290136678</v>
      </c>
      <c r="BC6" s="1">
        <f>AS6*AM6</f>
        <v>1386.3726324505205</v>
      </c>
      <c r="BD6" s="67">
        <f>AT6*AL6</f>
        <v>5072.7626194262893</v>
      </c>
      <c r="BF6" s="185">
        <f xml:space="preserve"> IF($BF$3=1, -A6, 0)</f>
        <v>-8.1999999999999993</v>
      </c>
      <c r="BG6" s="34">
        <f>RADIANS(BF6)</f>
        <v>-0.143116998663535</v>
      </c>
      <c r="BH6" s="188">
        <v>1</v>
      </c>
      <c r="BI6" s="189">
        <f>BJ6</f>
        <v>0.14732000000000001</v>
      </c>
      <c r="BJ6" s="192">
        <f>D6</f>
        <v>0.14732000000000001</v>
      </c>
      <c r="BK6" s="189">
        <f>C6</f>
        <v>0</v>
      </c>
      <c r="BL6" s="86">
        <v>0</v>
      </c>
      <c r="BM6" s="69">
        <f>E6</f>
        <v>2.0546376733824165</v>
      </c>
      <c r="BN6" s="180">
        <f>AJ6</f>
        <v>3.2252279425744212E-2</v>
      </c>
      <c r="BO6" s="69">
        <f>AK6</f>
        <v>3.9547405785609118E-3</v>
      </c>
      <c r="BP6" s="1">
        <f>0.5*($AU6+$AV6)+0.5*($AU6-$AV6)*COS(2*$BG6) + $AW6*SIN(2*$BG6)</f>
        <v>9.3980292552954387E-5</v>
      </c>
      <c r="BQ6" s="1">
        <f>0.5*($AU6+$AV6)-0.5*($AU6-$AV6)*COS(2*$BG6)-$AW6*SIN(2*$BG6)</f>
        <v>6.1375238491265588E-3</v>
      </c>
      <c r="BR6" s="15">
        <f xml:space="preserve"> - 0.5*($AU6-$AV6)*SIN(2*$BG6) + $AW6*COS(2*$BG6)</f>
        <v>-5.4105587011621208E-4</v>
      </c>
      <c r="BS6" s="180">
        <f>F6</f>
        <v>57826880.998899996</v>
      </c>
      <c r="BT6" s="1">
        <f>$BA6*COS($BG6) + $BB6*SIN($BG6)</f>
        <v>-2937.6055547441197</v>
      </c>
      <c r="BU6" s="15">
        <f xml:space="preserve"> - $BA6*SIN($BG6) + $BB6*COS($BG6)</f>
        <v>-1468.8027773720598</v>
      </c>
      <c r="BV6" s="1">
        <f>0.5*($AX6+$AY6)+0.5*($AX6-$AY6)*COS(2*$BG6) + $AZ6*SIN(2*$BG6)</f>
        <v>1198.2697863273588</v>
      </c>
      <c r="BW6" s="1">
        <f>0.5*($AX6+$AY6)-0.5*($AX6-$AY6)*COS(2*$BG6)-$AZ6*SIN(2*$BG6)</f>
        <v>19920.478171027691</v>
      </c>
      <c r="BX6" s="15">
        <f xml:space="preserve"> - 0.5*($AX6-$AY6)*SIN(2*$BG6) + $AZ6*COS(2*$BG6)</f>
        <v>-2656.3442210766771</v>
      </c>
      <c r="BY6" s="15">
        <f>AR6</f>
        <v>786.32921610758365</v>
      </c>
      <c r="BZ6" s="1">
        <f>0.5*($AS6+$AT6)+0.5*($AS6-$AT6)*COS(2*$BG6)</f>
        <v>1815665.6659267189</v>
      </c>
      <c r="CA6" s="15">
        <f>0.5*($AS6+$AT6)-0.5*($AS6-$AT6)*COS(2*$BG6)</f>
        <v>1614990.2879744943</v>
      </c>
      <c r="CB6" s="1">
        <f>$BC6*COS($BG6) + $BD6*SIN($BG6)</f>
        <v>648.6759554306359</v>
      </c>
      <c r="CC6" s="15">
        <f xml:space="preserve"> - $BC6*SIN($BG6) + $BD6*COS($BG6)</f>
        <v>5218.6367160305972</v>
      </c>
      <c r="CD6" s="35">
        <f>BJ6</f>
        <v>0.14732000000000001</v>
      </c>
      <c r="CF6" s="79">
        <f>$BS6*AF6</f>
        <v>-2937.6055547441197</v>
      </c>
      <c r="CG6" s="212">
        <f>$BS6*AE6</f>
        <v>-1468.8027773720598</v>
      </c>
      <c r="CH6" s="212">
        <f>BZ6*AD6</f>
        <v>553.41489497446389</v>
      </c>
      <c r="CI6" s="80">
        <f>CA6*AC6</f>
        <v>5209.6356709481233</v>
      </c>
      <c r="CJ6" s="114"/>
      <c r="CK6" s="20" t="s">
        <v>230</v>
      </c>
      <c r="CL6" s="18" t="s">
        <v>230</v>
      </c>
      <c r="CN6" s="53">
        <v>1</v>
      </c>
      <c r="CO6" s="208">
        <v>0</v>
      </c>
      <c r="CP6" s="243">
        <v>0</v>
      </c>
      <c r="CQ6" s="243">
        <v>0</v>
      </c>
      <c r="CR6" s="210">
        <v>1</v>
      </c>
      <c r="CS6" s="210">
        <v>0</v>
      </c>
      <c r="CT6" s="210">
        <v>0</v>
      </c>
      <c r="CU6" s="210">
        <v>0.1</v>
      </c>
      <c r="CV6" s="210">
        <v>0.1</v>
      </c>
      <c r="CW6" s="210">
        <v>0</v>
      </c>
      <c r="CX6" s="210">
        <v>1000000000000</v>
      </c>
      <c r="CY6" s="210">
        <v>0</v>
      </c>
      <c r="CZ6" s="210">
        <v>0</v>
      </c>
      <c r="DA6" s="210">
        <v>10000000000</v>
      </c>
      <c r="DB6" s="210">
        <v>10000000000</v>
      </c>
      <c r="DC6" s="210">
        <v>0</v>
      </c>
      <c r="DD6" s="210">
        <v>1000000000</v>
      </c>
      <c r="DE6" s="210">
        <v>100000000000000</v>
      </c>
      <c r="DF6" s="210">
        <v>100000000000000</v>
      </c>
      <c r="DG6" s="210">
        <v>0</v>
      </c>
      <c r="DH6" s="210">
        <v>0</v>
      </c>
      <c r="DI6" s="200">
        <v>0</v>
      </c>
    </row>
    <row r="7" spans="1:113">
      <c r="A7" s="47">
        <f>NASA!BI8</f>
        <v>8.0484738955823296</v>
      </c>
      <c r="B7">
        <f>NASA!BJ8</f>
        <v>0.13843</v>
      </c>
      <c r="C7">
        <f>NASA!BK8</f>
        <v>0</v>
      </c>
      <c r="D7" s="29">
        <f>NASA!BL8</f>
        <v>0.2117598</v>
      </c>
      <c r="E7" s="1">
        <f>NASA!BM8</f>
        <v>2.0546376733824165</v>
      </c>
      <c r="F7" s="1">
        <f>NASA!BN8</f>
        <v>57826880.998899996</v>
      </c>
      <c r="G7" s="1">
        <f>NASA!BO8</f>
        <v>786.32921610758365</v>
      </c>
      <c r="H7" s="141">
        <f>NASA!BP8</f>
        <v>3.2258E-3</v>
      </c>
      <c r="I7" s="141">
        <f>NASA!BQ8</f>
        <v>3.0479999999999998E-4</v>
      </c>
      <c r="J7" s="141">
        <f>NASA!BR8</f>
        <v>3.2486599999999997E-2</v>
      </c>
      <c r="K7" s="141">
        <f>NASA!BS8</f>
        <v>-6.8579999999999997E-4</v>
      </c>
      <c r="L7" s="141">
        <f>NASA!BT8</f>
        <v>-2.5400000000000001E-5</v>
      </c>
      <c r="M7" s="141">
        <f>NASA!BU8</f>
        <v>-5.0800000000000002E-5</v>
      </c>
      <c r="N7">
        <f>NASA!BV8</f>
        <v>828.97179210080469</v>
      </c>
      <c r="O7" s="1">
        <f>NASA!BW8</f>
        <v>20289.589627301521</v>
      </c>
      <c r="P7" s="1">
        <f>NASA!BX8</f>
        <v>94.703883691789272</v>
      </c>
      <c r="Q7" s="1">
        <f>NASA!BY8</f>
        <v>3.2027195630159997E-5</v>
      </c>
      <c r="R7" s="1">
        <f>NASA!BZ8</f>
        <v>4.0300887834618E-3</v>
      </c>
      <c r="S7" s="1">
        <f>NASA!CA8</f>
        <v>7.2061190167860002E-5</v>
      </c>
      <c r="T7" s="4">
        <f>NASA!CB8</f>
        <v>2</v>
      </c>
      <c r="U7" s="159">
        <f t="shared" ref="U7:U29" si="5">F7/ (2*(1+$U$3))</f>
        <v>22241108.076499999</v>
      </c>
      <c r="V7" s="247">
        <v>2091863.3865251299</v>
      </c>
      <c r="W7" s="248">
        <v>0.87</v>
      </c>
      <c r="X7" s="160">
        <v>0.77</v>
      </c>
      <c r="Y7" s="1"/>
      <c r="Z7" s="168">
        <f t="shared" ref="Z7:Z29" si="6">C7</f>
        <v>0</v>
      </c>
      <c r="AA7" s="156">
        <f t="shared" ref="AA7:AA29" si="7">J7</f>
        <v>3.2486599999999997E-2</v>
      </c>
      <c r="AB7" s="1">
        <f t="shared" ref="AB7:AB29" si="8">K7</f>
        <v>-6.8579999999999997E-4</v>
      </c>
      <c r="AC7" s="1">
        <f t="shared" si="0"/>
        <v>3.2258E-3</v>
      </c>
      <c r="AD7" s="1">
        <f t="shared" si="1"/>
        <v>3.0479999999999998E-4</v>
      </c>
      <c r="AE7" s="1">
        <f t="shared" si="2"/>
        <v>-2.5400000000000001E-5</v>
      </c>
      <c r="AF7" s="15">
        <f t="shared" si="3"/>
        <v>-5.0800000000000002E-5</v>
      </c>
      <c r="AH7" s="42">
        <f t="shared" si="4"/>
        <v>8.0484738955823296</v>
      </c>
      <c r="AI7" s="42">
        <f t="shared" ref="AI7:AI24" si="9">RADIANS(AH7)</f>
        <v>0.14047236923872594</v>
      </c>
      <c r="AJ7" s="7">
        <f t="shared" ref="AJ7:AJ24" si="10">AA7*COS($AI7) - AB7*SIN($AI7)</f>
        <v>3.2262625449653852E-2</v>
      </c>
      <c r="AK7" s="7">
        <f t="shared" ref="AK7:AK24" si="11" xml:space="preserve"> AA7*SIN($AI7) + AB7*COS($AI7)</f>
        <v>3.8694315209533659E-3</v>
      </c>
      <c r="AL7" s="7">
        <f t="shared" ref="AL7:AL24" si="12">AC7*COS($AI7) - AD7*SIN($AI7)</f>
        <v>3.1513504667377472E-3</v>
      </c>
      <c r="AM7" s="7">
        <f t="shared" ref="AM7:AM24" si="13" xml:space="preserve"> AC7*SIN($AI7) + AD7*COS($AI7)</f>
        <v>7.5344469988963478E-4</v>
      </c>
      <c r="AN7" s="7">
        <f t="shared" ref="AN7:AN24" si="14" xml:space="preserve"> AE7*COS($AI7) - AF7*SIN($AI7)</f>
        <v>-1.8037258225533597E-5</v>
      </c>
      <c r="AO7" s="23">
        <f t="shared" ref="AO7:AO24" si="15" xml:space="preserve"> AE7*SIN($AI7) + AF7*COS($AI7)</f>
        <v>-5.3855893973690761E-5</v>
      </c>
      <c r="AP7" s="24"/>
      <c r="AQ7" s="10"/>
      <c r="AR7" s="69">
        <f t="shared" ref="AR7:AR29" si="16">G7</f>
        <v>786.32921610758365</v>
      </c>
      <c r="AS7" s="180" cm="1">
        <f t="array" ref="AS7">W7 * _xlfn.IFS( $AT$4="P", $U7,  $AT$4="A", $V7)</f>
        <v>1819921.1462768631</v>
      </c>
      <c r="AT7" s="180" cm="1">
        <f t="array" ref="AT7">X7 * _xlfn.IFS( $AT$4="P", $U7,  $AT$4="A", $V7)</f>
        <v>1610734.8076243501</v>
      </c>
      <c r="AU7" s="183">
        <f t="shared" ref="AU7:AU29" si="17">Q7 + (E7*AK7^2)*$AW$2</f>
        <v>6.2790258801710287E-5</v>
      </c>
      <c r="AV7" s="180">
        <f t="shared" ref="AV7:AV29" si="18">R7 + (E7*AJ7^2)*$AW$2</f>
        <v>6.1687138828778023E-3</v>
      </c>
      <c r="AW7" s="15">
        <f t="shared" ref="AW7:AW29" si="19">S7 + (E7*AJ7*AK7)*$AW$2</f>
        <v>3.2855808885008089E-4</v>
      </c>
      <c r="AX7" s="1">
        <f t="shared" ref="AX7:AX29" si="20">N7 + (F7*AO7^2)*$AW$2</f>
        <v>829.13951650084243</v>
      </c>
      <c r="AY7" s="1">
        <f t="shared" ref="AY7:AY29" si="21">O7 + (F7*AN7^2)*$AW$2</f>
        <v>20289.608440854208</v>
      </c>
      <c r="AZ7" s="67">
        <f t="shared" ref="AZ7:AZ29" si="22">P7 + (F7*AN7*AO7)*$AW$2</f>
        <v>94.760057456459862</v>
      </c>
      <c r="BA7" s="1">
        <f t="shared" ref="BA7:BA29" si="23">$F7*AO7</f>
        <v>-3114.3183719059912</v>
      </c>
      <c r="BB7" s="15">
        <f t="shared" ref="BB7:BB29" si="24">$F7*AN7</f>
        <v>-1043.0383849543614</v>
      </c>
      <c r="BC7" s="1">
        <f t="shared" ref="BC7:BC29" si="25">AS7*AM7</f>
        <v>1371.2099418793712</v>
      </c>
      <c r="BD7" s="67">
        <f t="shared" ref="BD7:BD29" si="26">AT7*AL7</f>
        <v>5075.9898877977312</v>
      </c>
      <c r="BF7" s="185">
        <f xml:space="preserve"> IF($BF$3=1, -A7, 0)</f>
        <v>-8.0484738955823296</v>
      </c>
      <c r="BG7" s="34">
        <f>RADIANS(BF7)</f>
        <v>-0.14047236923872594</v>
      </c>
      <c r="BH7" s="188">
        <v>2</v>
      </c>
      <c r="BI7" s="189">
        <f>SQRT( (BJ7-BJ6)^2 + (BK7-BK6)^2 + (BL7-BL6)^2 ) + BI6</f>
        <v>0.2117598</v>
      </c>
      <c r="BJ7" s="192">
        <f>D7</f>
        <v>0.2117598</v>
      </c>
      <c r="BK7" s="189">
        <f>C7</f>
        <v>0</v>
      </c>
      <c r="BL7" s="86">
        <v>0</v>
      </c>
      <c r="BM7" s="69">
        <f>E7</f>
        <v>2.0546376733824165</v>
      </c>
      <c r="BN7" s="180">
        <f>AJ7</f>
        <v>3.2262625449653852E-2</v>
      </c>
      <c r="BO7" s="69">
        <f>AK7</f>
        <v>3.8694315209533659E-3</v>
      </c>
      <c r="BP7" s="1">
        <f>0.5*($AU7+$AV7)+0.5*($AU7-$AV7)*COS(2*$BG7) + $AW7*SIN(2*$BG7)</f>
        <v>9.1387750404791309E-5</v>
      </c>
      <c r="BQ7" s="1">
        <f>0.5*($AU7+$AV7)-0.5*($AU7-$AV7)*COS(2*$BG7)-$AW7*SIN(2*$BG7)</f>
        <v>6.1401163912747211E-3</v>
      </c>
      <c r="BR7" s="15">
        <f xml:space="preserve"> - 0.5*($AU7-$AV7)*SIN(2*$BG7) + $AW7*COS(2*$BG7)</f>
        <v>-5.3079817331204079E-4</v>
      </c>
      <c r="BS7" s="180">
        <f>F7</f>
        <v>57826880.998899996</v>
      </c>
      <c r="BT7" s="1">
        <f>$BA7*COS($BG7) + $BB7*SIN($BG7)</f>
        <v>-2937.6055547441201</v>
      </c>
      <c r="BU7" s="15">
        <f xml:space="preserve"> - $BA7*SIN($BG7) + $BB7*COS($BG7)</f>
        <v>-1468.8027773720598</v>
      </c>
      <c r="BV7" s="1">
        <f>0.5*($AX7+$AY7)+0.5*($AX7-$AY7)*COS(2*$BG7) + $AZ7*SIN(2*$BG7)</f>
        <v>1184.3503098187011</v>
      </c>
      <c r="BW7" s="1">
        <f>0.5*($AX7+$AY7)-0.5*($AX7-$AY7)*COS(2*$BG7)-$AZ7*SIN(2*$BG7)</f>
        <v>19934.397647536352</v>
      </c>
      <c r="BX7" s="15">
        <f xml:space="preserve"> - 0.5*($AX7-$AY7)*SIN(2*$BG7) + $AZ7*COS(2*$BG7)</f>
        <v>-2606.7936945137649</v>
      </c>
      <c r="BY7" s="15">
        <f>AR7</f>
        <v>786.32921610758365</v>
      </c>
      <c r="BZ7" s="1">
        <f>0.5*($AS7+$AT7)+0.5*($AS7-$AT7)*COS(2*$BG7)</f>
        <v>1815820.4587036716</v>
      </c>
      <c r="CA7" s="15">
        <f>0.5*($AS7+$AT7)-0.5*($AS7-$AT7)*COS(2*$BG7)</f>
        <v>1614835.4951975415</v>
      </c>
      <c r="CB7" s="1">
        <f>$BC7*COS($BG7) + $BD7*SIN($BG7)</f>
        <v>647.00984093069474</v>
      </c>
      <c r="CC7" s="15">
        <f xml:space="preserve"> - $BC7*SIN($BG7) + $BD7*COS($BG7)</f>
        <v>5217.975499316999</v>
      </c>
      <c r="CD7" s="35">
        <f t="shared" ref="CD7:CD29" si="27">BJ7</f>
        <v>0.2117598</v>
      </c>
      <c r="CF7" s="79">
        <f>$BS7*AF7</f>
        <v>-2937.6055547441197</v>
      </c>
      <c r="CG7" s="212">
        <f>$BS7*AE7</f>
        <v>-1468.8027773720598</v>
      </c>
      <c r="CH7" s="212">
        <f>BZ7*AD7</f>
        <v>553.46207581287911</v>
      </c>
      <c r="CI7" s="80">
        <f>CA7*AC7</f>
        <v>5209.1363404082294</v>
      </c>
      <c r="CJ7" s="114"/>
      <c r="CK7" s="20">
        <f>_xlfn.XLOOKUP(CO7,$BJ$6:$BJ$195,$BH$6:$BH$195, ,1)</f>
        <v>1</v>
      </c>
      <c r="CL7" s="18">
        <f t="shared" ref="CL7:CL8" si="28">CK7+1</f>
        <v>2</v>
      </c>
      <c r="CN7" s="53">
        <v>2</v>
      </c>
      <c r="CO7" s="208">
        <v>0.14729999999999999</v>
      </c>
      <c r="CP7" s="244">
        <f t="shared" ref="CP7:CP23" si="29">_xlfn.LET(
    _xlpm.r, $CO7,
    _xlpm.rp, _xlfn.XLOOKUP($CK7,$BH$6:$BH$195, $BJ$6:$BJ$195, , -1),
    _xlpm.rn, _xlfn.XLOOKUP($CL7,$BH$6:$BH$195, $BJ$6:$BJ$195, , -1),
    _xlpm.xp, _xlfn.XLOOKUP($CK7,$BH$6:$BH$195, BK$6:BK$195, , -1),
    _xlpm.xn, _xlfn.XLOOKUP($CL7,$BH$6:$BH$195, BK$6:BK$195, , -1),
    (_xlpm.r - _xlpm.rp)/(_xlpm.rn - _xlpm.rp)*(_xlpm.xn - _xlpm.xp) + _xlpm.xp
)</f>
        <v>0</v>
      </c>
      <c r="CQ7" s="244">
        <f t="shared" ref="CQ7:CQ23" si="30">_xlfn.LET(
    _xlpm.r, $CO7,
    _xlpm.rp, _xlfn.XLOOKUP($CK7,$BH$6:$BH$195, $BJ$6:$BJ$195, , -1),
    _xlpm.rn, _xlfn.XLOOKUP($CL7,$BH$6:$BH$195, $BJ$6:$BJ$195, , -1),
    _xlpm.xp, _xlfn.XLOOKUP($CK7,$BH$6:$BH$195, BL$6:BL$195, , -1),
    _xlpm.xn, _xlfn.XLOOKUP($CL7,$BH$6:$BH$195, BL$6:BL$195, , -1),
    (_xlpm.r - _xlpm.rp)/(_xlpm.rn - _xlpm.rp)*(_xlpm.xn - _xlpm.xp) + _xlpm.xp
)</f>
        <v>0</v>
      </c>
      <c r="CR7" s="211">
        <f t="shared" ref="CR7:CR23" si="31">_xlfn.LET(
    _xlpm.r, $CO7,
    _xlpm.rp, _xlfn.XLOOKUP($CK7,$BH$6:$BH$195, $BJ$6:$BJ$195, , -1),
    _xlpm.rn, _xlfn.XLOOKUP($CL7,$BH$6:$BH$195, $BJ$6:$BJ$195, , -1),
    _xlpm.xp, _xlfn.XLOOKUP($CK7,$BH$6:$BH$195, BM$6:BM$195, , -1),
    _xlpm.xn, _xlfn.XLOOKUP($CL7,$BH$6:$BH$195, BM$6:BM$195, , -1),
    (_xlpm.r - _xlpm.rp)/(_xlpm.rn - _xlpm.rp)*(_xlpm.xn - _xlpm.xp) + _xlpm.xp
)</f>
        <v>2.0546376733824165</v>
      </c>
      <c r="CS7" s="211">
        <f t="shared" ref="CS7:CS23" si="32">_xlfn.LET(
    _xlpm.r, $CO7,
    _xlpm.rp, _xlfn.XLOOKUP($CK7,$BH$6:$BH$195, $BJ$6:$BJ$195, , -1),
    _xlpm.rn, _xlfn.XLOOKUP($CL7,$BH$6:$BH$195, $BJ$6:$BJ$195, , -1),
    _xlpm.xp, _xlfn.XLOOKUP($CK7,$BH$6:$BH$195, BN$6:BN$195, , -1),
    _xlpm.xn, _xlfn.XLOOKUP($CL7,$BH$6:$BH$195, BN$6:BN$195, , -1),
    (_xlpm.r - _xlpm.rp)/(_xlpm.rn - _xlpm.rp)*(_xlpm.xn - _xlpm.xp) + _xlpm.xp
)</f>
        <v>3.2252276214677786E-2</v>
      </c>
      <c r="CT7" s="211">
        <f t="shared" ref="CT7:CT23" si="33">_xlfn.LET(
    _xlpm.r, $CO7,
    _xlpm.rp, _xlfn.XLOOKUP($CK7,$BH$6:$BH$195, $BJ$6:$BJ$195, , -1),
    _xlpm.rn, _xlfn.XLOOKUP($CL7,$BH$6:$BH$195, $BJ$6:$BJ$195, , -1),
    _xlpm.xp, _xlfn.XLOOKUP($CK7,$BH$6:$BH$195, BO$6:BO$195, , -1),
    _xlpm.xn, _xlfn.XLOOKUP($CL7,$BH$6:$BH$195, BO$6:BO$195, , -1),
    (_xlpm.r - _xlpm.rp)/(_xlpm.rn - _xlpm.rp)*(_xlpm.xn - _xlpm.xp) + _xlpm.xp
)</f>
        <v>3.9547670556938658E-3</v>
      </c>
      <c r="CU7" s="211">
        <f t="shared" ref="CU7:CU23" si="34">_xlfn.LET(
    _xlpm.r, $CO7,
    _xlpm.rp, _xlfn.XLOOKUP($CK7,$BH$6:$BH$195, $BJ$6:$BJ$195, , -1),
    _xlpm.rn, _xlfn.XLOOKUP($CL7,$BH$6:$BH$195, $BJ$6:$BJ$195, , -1),
    _xlpm.xp, _xlfn.XLOOKUP($CK7,$BH$6:$BH$195, BP$6:BP$195, , -1),
    _xlpm.xn, _xlfn.XLOOKUP($CL7,$BH$6:$BH$195, BP$6:BP$195, , -1),
    (_xlpm.r - _xlpm.rp)/(_xlpm.rn - _xlpm.rp)*(_xlpm.xn - _xlpm.xp) + _xlpm.xp
)</f>
        <v>9.3981097192989951E-5</v>
      </c>
      <c r="CV7" s="211">
        <f t="shared" ref="CV7:CV23" si="35">_xlfn.LET(
    _xlpm.r, $CO7,
    _xlpm.rp, _xlfn.XLOOKUP($CK7,$BH$6:$BH$195, $BJ$6:$BJ$195, , -1),
    _xlpm.rn, _xlfn.XLOOKUP($CL7,$BH$6:$BH$195, $BJ$6:$BJ$195, , -1),
    _xlpm.xp, _xlfn.XLOOKUP($CK7,$BH$6:$BH$195, BQ$6:BQ$195, , -1),
    _xlpm.xn, _xlfn.XLOOKUP($CL7,$BH$6:$BH$195, BQ$6:BQ$195, , -1),
    (_xlpm.r - _xlpm.rp)/(_xlpm.rn - _xlpm.rp)*(_xlpm.xn - _xlpm.xp) + _xlpm.xp
)</f>
        <v>6.1375230444865236E-3</v>
      </c>
      <c r="CW7" s="211">
        <f t="shared" ref="CW7:CW23" si="36">_xlfn.LET(
    _xlpm.r, $CO7,
    _xlpm.rp, _xlfn.XLOOKUP($CK7,$BH$6:$BH$195, $BJ$6:$BJ$195, , -1),
    _xlpm.rn, _xlfn.XLOOKUP($CL7,$BH$6:$BH$195, $BJ$6:$BJ$195, , -1),
    _xlpm.xp, _xlfn.XLOOKUP($CK7,$BH$6:$BH$195, BR$6:BR$195, , -1),
    _xlpm.xn, _xlfn.XLOOKUP($CL7,$BH$6:$BH$195, BR$6:BR$195, , -1),
    (_xlpm.r - _xlpm.rp)/(_xlpm.rn - _xlpm.rp)*(_xlpm.xn - _xlpm.xp) + _xlpm.xp
)</f>
        <v>-5.410590537688007E-4</v>
      </c>
      <c r="CX7" s="211">
        <f t="shared" ref="CX7:CX23" si="37">_xlfn.LET(
    _xlpm.r, $CO7,
    _xlpm.rp, _xlfn.XLOOKUP($CK7,$BH$6:$BH$195, $BJ$6:$BJ$195, , -1),
    _xlpm.rn, _xlfn.XLOOKUP($CL7,$BH$6:$BH$195, $BJ$6:$BJ$195, , -1),
    _xlpm.xp, _xlfn.XLOOKUP($CK7,$BH$6:$BH$195, BS$6:BS$195, , -1),
    _xlpm.xn, _xlfn.XLOOKUP($CL7,$BH$6:$BH$195, BS$6:BS$195, , -1),
    (_xlpm.r - _xlpm.rp)/(_xlpm.rn - _xlpm.rp)*(_xlpm.xn - _xlpm.xp) + _xlpm.xp
)</f>
        <v>57826880.998899996</v>
      </c>
      <c r="CY7" s="211">
        <f t="shared" ref="CY7:CY23" si="38">_xlfn.LET(
    _xlpm.r, $CO7,
    _xlpm.rp, _xlfn.XLOOKUP($CK7,$BH$6:$BH$195, $BJ$6:$BJ$195, , -1),
    _xlpm.rn, _xlfn.XLOOKUP($CL7,$BH$6:$BH$195, $BJ$6:$BJ$195, , -1),
    _xlpm.xp, _xlfn.XLOOKUP($CK7,$BH$6:$BH$195, BT$6:BT$195, , -1),
    _xlpm.xn, _xlfn.XLOOKUP($CL7,$BH$6:$BH$195, BT$6:BT$195, , -1),
    (_xlpm.r - _xlpm.rp)/(_xlpm.rn - _xlpm.rp)*(_xlpm.xn - _xlpm.xp) + _xlpm.xp
)</f>
        <v>-2937.6055547441197</v>
      </c>
      <c r="CZ7" s="211">
        <f t="shared" ref="CZ7:CZ23" si="39">_xlfn.LET(
    _xlpm.r, $CO7,
    _xlpm.rp, _xlfn.XLOOKUP($CK7,$BH$6:$BH$195, $BJ$6:$BJ$195, , -1),
    _xlpm.rn, _xlfn.XLOOKUP($CL7,$BH$6:$BH$195, $BJ$6:$BJ$195, , -1),
    _xlpm.xp, _xlfn.XLOOKUP($CK7,$BH$6:$BH$195, BU$6:BU$195, , -1),
    _xlpm.xn, _xlfn.XLOOKUP($CL7,$BH$6:$BH$195, BU$6:BU$195, , -1),
    (_xlpm.r - _xlpm.rp)/(_xlpm.rn - _xlpm.rp)*(_xlpm.xn - _xlpm.xp) + _xlpm.xp
)</f>
        <v>-1468.8027773720598</v>
      </c>
      <c r="DA7" s="211">
        <f t="shared" ref="DA7:DA23" si="40">_xlfn.LET(
    _xlpm.r, $CO7,
    _xlpm.rp, _xlfn.XLOOKUP($CK7,$BH$6:$BH$195, $BJ$6:$BJ$195, , -1),
    _xlpm.rn, _xlfn.XLOOKUP($CL7,$BH$6:$BH$195, $BJ$6:$BJ$195, , -1),
    _xlpm.xp, _xlfn.XLOOKUP($CK7,$BH$6:$BH$195, BV$6:BV$195, , -1),
    _xlpm.xn, _xlfn.XLOOKUP($CL7,$BH$6:$BH$195, BV$6:BV$195, , -1),
    (_xlpm.r - _xlpm.rp)/(_xlpm.rn - _xlpm.rp)*(_xlpm.xn - _xlpm.xp) + _xlpm.xp
)</f>
        <v>1198.2741064762447</v>
      </c>
      <c r="DB7" s="211">
        <f t="shared" ref="DB7:DB23" si="41">_xlfn.LET(
    _xlpm.r, $CO7,
    _xlpm.rp, _xlfn.XLOOKUP($CK7,$BH$6:$BH$195, $BJ$6:$BJ$195, , -1),
    _xlpm.rn, _xlfn.XLOOKUP($CL7,$BH$6:$BH$195, $BJ$6:$BJ$195, , -1),
    _xlpm.xp, _xlfn.XLOOKUP($CK7,$BH$6:$BH$195, BW$6:BW$195, , -1),
    _xlpm.xn, _xlfn.XLOOKUP($CL7,$BH$6:$BH$195, BW$6:BW$195, , -1),
    (_xlpm.r - _xlpm.rp)/(_xlpm.rn - _xlpm.rp)*(_xlpm.xn - _xlpm.xp) + _xlpm.xp
)</f>
        <v>19920.473850878807</v>
      </c>
      <c r="DC7" s="211">
        <f t="shared" ref="DC7:DC23" si="42">_xlfn.LET(
    _xlpm.r, $CO7,
    _xlpm.rp, _xlfn.XLOOKUP($CK7,$BH$6:$BH$195, $BJ$6:$BJ$195, , -1),
    _xlpm.rn, _xlfn.XLOOKUP($CL7,$BH$6:$BH$195, $BJ$6:$BJ$195, , -1),
    _xlpm.xp, _xlfn.XLOOKUP($CK7,$BH$6:$BH$195, BX$6:BX$195, , -1),
    _xlpm.xn, _xlfn.XLOOKUP($CL7,$BH$6:$BH$195, BX$6:BX$195, , -1),
    (_xlpm.r - _xlpm.rp)/(_xlpm.rn - _xlpm.rp)*(_xlpm.xn - _xlpm.xp) + _xlpm.xp
)</f>
        <v>-2656.3595999346385</v>
      </c>
      <c r="DD7" s="211">
        <f t="shared" ref="DD7:DD23" si="43">_xlfn.LET(
    _xlpm.r, $CO7,
    _xlpm.rp, _xlfn.XLOOKUP($CK7,$BH$6:$BH$195, $BJ$6:$BJ$195, , -1),
    _xlpm.rn, _xlfn.XLOOKUP($CL7,$BH$6:$BH$195, $BJ$6:$BJ$195, , -1),
    _xlpm.xp, _xlfn.XLOOKUP($CK7,$BH$6:$BH$195, BY$6:BY$195, , -1),
    _xlpm.xn, _xlfn.XLOOKUP($CL7,$BH$6:$BH$195, BY$6:BY$195, , -1),
    (_xlpm.r - _xlpm.rp)/(_xlpm.rn - _xlpm.rp)*(_xlpm.xn - _xlpm.xp) + _xlpm.xp
)</f>
        <v>786.32921610758365</v>
      </c>
      <c r="DE7" s="211">
        <f t="shared" ref="DE7:DE23" si="44">_xlfn.LET(
    _xlpm.r, $CO7,
    _xlpm.rp, _xlfn.XLOOKUP($CK7,$BH$6:$BH$195, $BJ$6:$BJ$195, , -1),
    _xlpm.rn, _xlfn.XLOOKUP($CL7,$BH$6:$BH$195, $BJ$6:$BJ$195, , -1),
    _xlpm.xp, _xlfn.XLOOKUP($CK7,$BH$6:$BH$195, BZ$6:BZ$195, , -1),
    _xlpm.xn, _xlfn.XLOOKUP($CL7,$BH$6:$BH$195, BZ$6:BZ$195, , -1),
    (_xlpm.r - _xlpm.rp)/(_xlpm.rn - _xlpm.rp)*(_xlpm.xn - _xlpm.xp) + _xlpm.xp
)</f>
        <v>1815665.6178841188</v>
      </c>
      <c r="DF7" s="211">
        <f t="shared" ref="DF7:DF23" si="45">_xlfn.LET(
    _xlpm.r, $CO7,
    _xlpm.rp, _xlfn.XLOOKUP($CK7,$BH$6:$BH$195, $BJ$6:$BJ$195, , -1),
    _xlpm.rn, _xlfn.XLOOKUP($CL7,$BH$6:$BH$195, $BJ$6:$BJ$195, , -1),
    _xlpm.xp, _xlfn.XLOOKUP($CK7,$BH$6:$BH$195, CA$6:CA$195, , -1),
    _xlpm.xn, _xlfn.XLOOKUP($CL7,$BH$6:$BH$195, CA$6:CA$195, , -1),
    (_xlpm.r - _xlpm.rp)/(_xlpm.rn - _xlpm.rp)*(_xlpm.xn - _xlpm.xp) + _xlpm.xp
)</f>
        <v>1614990.3360170943</v>
      </c>
      <c r="DG7" s="211">
        <f t="shared" ref="DG7:DG23" si="46">_xlfn.LET(
    _xlpm.r, $CO7,
    _xlpm.rp, _xlfn.XLOOKUP($CK7,$BH$6:$BH$195, $BJ$6:$BJ$195, , -1),
    _xlpm.rn, _xlfn.XLOOKUP($CL7,$BH$6:$BH$195, $BJ$6:$BJ$195, , -1),
    _xlpm.xp, _xlfn.XLOOKUP($CK7,$BH$6:$BH$195, CB$6:CB$195, , -1),
    _xlpm.xn, _xlfn.XLOOKUP($CL7,$BH$6:$BH$195, CB$6:CB$195, , -1),
    (_xlpm.r - _xlpm.rp)/(_xlpm.rn - _xlpm.rp)*(_xlpm.xn - _xlpm.xp) + _xlpm.xp
)</f>
        <v>648.67647253792052</v>
      </c>
      <c r="DH7" s="211">
        <f t="shared" ref="DH7:DH23" si="47">_xlfn.LET(
    _xlpm.r, $CO7,
    _xlpm.rp, _xlfn.XLOOKUP($CK7,$BH$6:$BH$195, $BJ$6:$BJ$195, , -1),
    _xlpm.rn, _xlfn.XLOOKUP($CL7,$BH$6:$BH$195, $BJ$6:$BJ$195, , -1),
    _xlpm.xp, _xlfn.XLOOKUP($CK7,$BH$6:$BH$195, CC$6:CC$195, , -1),
    _xlpm.xn, _xlfn.XLOOKUP($CL7,$BH$6:$BH$195, CC$6:CC$195, , -1),
    (_xlpm.r - _xlpm.rp)/(_xlpm.rn - _xlpm.rp)*(_xlpm.xn - _xlpm.xp) + _xlpm.xp
)</f>
        <v>5218.6369212505742</v>
      </c>
      <c r="DI7" s="203">
        <f t="shared" ref="DI7:DI23" si="48">_xlfn.LET(
    _xlpm.r, $CO7,
    _xlpm.rp, _xlfn.XLOOKUP($CK7,$BH$6:$BH$195, $BJ$6:$BJ$195, , -1),
    _xlpm.rn, _xlfn.XLOOKUP($CL7,$BH$6:$BH$195, $BJ$6:$BJ$195, , -1),
    _xlpm.xp, _xlfn.XLOOKUP($CK7,$BH$6:$BH$195, CD$6:CD$195, , -1),
    _xlpm.xn, _xlfn.XLOOKUP($CL7,$BH$6:$BH$195, CD$6:CD$195, , -1),
    (_xlpm.r - _xlpm.rp)/(_xlpm.rn - _xlpm.rp)*(_xlpm.xn - _xlpm.xp) + _xlpm.xp
)</f>
        <v>0.14729999999999999</v>
      </c>
    </row>
    <row r="8" spans="1:113">
      <c r="A8" s="47">
        <f>NASA!BI9</f>
        <v>7.5283935742971888</v>
      </c>
      <c r="B8">
        <f>NASA!BJ9</f>
        <v>0.13843</v>
      </c>
      <c r="C8">
        <f>NASA!BK9</f>
        <v>0</v>
      </c>
      <c r="D8" s="29">
        <f>NASA!BL9</f>
        <v>0.27425650000000001</v>
      </c>
      <c r="E8" s="1">
        <f>NASA!BM9</f>
        <v>1.5099518472172795</v>
      </c>
      <c r="F8" s="1">
        <f>NASA!BN9</f>
        <v>32827875.520913996</v>
      </c>
      <c r="G8" s="1">
        <f>NASA!BO9</f>
        <v>677.27625912915971</v>
      </c>
      <c r="H8" s="141">
        <f>NASA!BP9</f>
        <v>-5.0800000000000002E-5</v>
      </c>
      <c r="I8" s="141">
        <f>NASA!BQ9</f>
        <v>1.3715999999999999E-3</v>
      </c>
      <c r="J8" s="141">
        <f>NASA!BR9</f>
        <v>-4.3180000000000003E-4</v>
      </c>
      <c r="K8" s="141">
        <f>NASA!BS9</f>
        <v>7.8739999999999995E-4</v>
      </c>
      <c r="L8" s="141">
        <f>NASA!BT9</f>
        <v>-1.3207999999999998E-3</v>
      </c>
      <c r="M8" s="141">
        <f>NASA!BU9</f>
        <v>1.016E-3</v>
      </c>
      <c r="N8">
        <f>NASA!BV9</f>
        <v>884.57445108651439</v>
      </c>
      <c r="O8" s="1">
        <f>NASA!BW9</f>
        <v>13028.958544264342</v>
      </c>
      <c r="P8" s="1">
        <f>NASA!BX9</f>
        <v>-57.109311680806258</v>
      </c>
      <c r="Q8" s="1">
        <f>NASA!BY9</f>
        <v>2.7401045150247999E-5</v>
      </c>
      <c r="R8" s="1">
        <f>NASA!BZ9</f>
        <v>1.6147044463538998E-3</v>
      </c>
      <c r="S8" s="1">
        <f>NASA!CA9</f>
        <v>-8.3626566367639994E-6</v>
      </c>
      <c r="T8" s="4">
        <f>NASA!CB9</f>
        <v>3</v>
      </c>
      <c r="U8" s="159">
        <f t="shared" si="5"/>
        <v>12626105.969582306</v>
      </c>
      <c r="V8" s="247">
        <v>1591447.5843378</v>
      </c>
      <c r="W8" s="248">
        <v>0.87</v>
      </c>
      <c r="X8" s="160">
        <v>0.77</v>
      </c>
      <c r="Y8" s="1"/>
      <c r="Z8" s="168">
        <f t="shared" si="6"/>
        <v>0</v>
      </c>
      <c r="AA8" s="156">
        <f t="shared" si="7"/>
        <v>-4.3180000000000003E-4</v>
      </c>
      <c r="AB8" s="1">
        <f t="shared" si="8"/>
        <v>7.8739999999999995E-4</v>
      </c>
      <c r="AC8" s="1">
        <f t="shared" si="0"/>
        <v>-5.0800000000000002E-5</v>
      </c>
      <c r="AD8" s="1">
        <f t="shared" si="1"/>
        <v>1.3715999999999999E-3</v>
      </c>
      <c r="AE8" s="1">
        <f t="shared" si="2"/>
        <v>-1.3207999999999998E-3</v>
      </c>
      <c r="AF8" s="15">
        <f t="shared" si="3"/>
        <v>1.016E-3</v>
      </c>
      <c r="AH8" s="42">
        <f t="shared" si="4"/>
        <v>7.5283935742971888</v>
      </c>
      <c r="AI8" s="42">
        <f t="shared" si="9"/>
        <v>0.13139525525747028</v>
      </c>
      <c r="AJ8" s="7">
        <f t="shared" si="10"/>
        <v>-5.3124108601084656E-4</v>
      </c>
      <c r="AK8" s="7">
        <f t="shared" si="11"/>
        <v>7.2403930040710934E-4</v>
      </c>
      <c r="AL8" s="7">
        <f t="shared" si="12"/>
        <v>-2.3006570700643213E-4</v>
      </c>
      <c r="AM8" s="7">
        <f t="shared" si="13"/>
        <v>1.3531211957765019E-3</v>
      </c>
      <c r="AN8" s="7">
        <f t="shared" si="14"/>
        <v>-1.4425285557331708E-3</v>
      </c>
      <c r="AO8" s="23">
        <f t="shared" si="15"/>
        <v>8.3419422552207315E-4</v>
      </c>
      <c r="AP8" s="24"/>
      <c r="AQ8" s="10"/>
      <c r="AR8" s="69">
        <f t="shared" si="16"/>
        <v>677.27625912915971</v>
      </c>
      <c r="AS8" s="180" cm="1">
        <f t="array" ref="AS8">W8 * _xlfn.IFS( $AT$4="P", $U8,  $AT$4="A", $V8)</f>
        <v>1384559.398373886</v>
      </c>
      <c r="AT8" s="180" cm="1">
        <f t="array" ref="AT8">X8 * _xlfn.IFS( $AT$4="P", $U8,  $AT$4="A", $V8)</f>
        <v>1225414.6399401061</v>
      </c>
      <c r="AU8" s="183">
        <f t="shared" si="17"/>
        <v>2.8192611598861023E-5</v>
      </c>
      <c r="AV8" s="180">
        <f t="shared" si="18"/>
        <v>1.6151305805724751E-3</v>
      </c>
      <c r="AW8" s="15">
        <f t="shared" si="19"/>
        <v>-8.9434436459422153E-6</v>
      </c>
      <c r="AX8" s="1">
        <f t="shared" si="20"/>
        <v>907.41871329750768</v>
      </c>
      <c r="AY8" s="1">
        <f t="shared" si="21"/>
        <v>13097.269697317646</v>
      </c>
      <c r="AZ8" s="67">
        <f t="shared" si="22"/>
        <v>-96.612702576841755</v>
      </c>
      <c r="BA8" s="1">
        <f t="shared" si="23"/>
        <v>27384.824195703874</v>
      </c>
      <c r="BB8" s="15">
        <f t="shared" si="24"/>
        <v>-47355.147862972379</v>
      </c>
      <c r="BC8" s="1">
        <f t="shared" si="25"/>
        <v>1873.4766687512667</v>
      </c>
      <c r="BD8" s="67">
        <f t="shared" si="26"/>
        <v>-281.92588551385296</v>
      </c>
      <c r="BF8" s="185">
        <f xml:space="preserve"> IF($BF$3=1, -A8, 0)</f>
        <v>-7.5283935742971888</v>
      </c>
      <c r="BG8" s="34">
        <f t="shared" ref="BG8:BG23" si="49">RADIANS(BF8)</f>
        <v>-0.13139525525747028</v>
      </c>
      <c r="BH8" s="188">
        <v>3</v>
      </c>
      <c r="BI8" s="189">
        <f t="shared" ref="BI8:BI29" si="50">SQRT( (BJ8-BJ7)^2 + (BK8-BK7)^2 + (BL8-BL7)^2 ) + BI7</f>
        <v>0.27425650000000001</v>
      </c>
      <c r="BJ8" s="192">
        <f>D8</f>
        <v>0.27425650000000001</v>
      </c>
      <c r="BK8" s="189">
        <f>C8</f>
        <v>0</v>
      </c>
      <c r="BL8" s="86">
        <v>0</v>
      </c>
      <c r="BM8" s="69">
        <f>E8</f>
        <v>1.5099518472172795</v>
      </c>
      <c r="BN8" s="180">
        <f>AJ8</f>
        <v>-5.3124108601084656E-4</v>
      </c>
      <c r="BO8" s="69">
        <f>AK8</f>
        <v>7.2403930040710934E-4</v>
      </c>
      <c r="BP8" s="1">
        <f>0.5*($AU8+$AV8)+0.5*($AU8-$AV8)*COS(2*$BG8) + $AW8*SIN(2*$BG8)</f>
        <v>5.7756624243065578E-5</v>
      </c>
      <c r="BQ8" s="1">
        <f>0.5*($AU8+$AV8)-0.5*($AU8-$AV8)*COS(2*$BG8)-$AW8*SIN(2*$BG8)</f>
        <v>1.5855665679282704E-3</v>
      </c>
      <c r="BR8" s="15">
        <f xml:space="preserve"> - 0.5*($AU8-$AV8)*SIN(2*$BG8) + $AW8*COS(2*$BG8)</f>
        <v>-2.1476081700563021E-4</v>
      </c>
      <c r="BS8" s="180">
        <f>F8</f>
        <v>32827875.520913996</v>
      </c>
      <c r="BT8" s="1">
        <f>$BA8*COS($BG8) + $BB8*SIN($BG8)</f>
        <v>33353.121529248616</v>
      </c>
      <c r="BU8" s="15">
        <f xml:space="preserve"> - $BA8*SIN($BG8) + $BB8*COS($BG8)</f>
        <v>-43359.057988023196</v>
      </c>
      <c r="BV8" s="1">
        <f>0.5*($AX8+$AY8)+0.5*($AX8-$AY8)*COS(2*$BG8) + $AZ8*SIN(2*$BG8)</f>
        <v>1141.7623210352344</v>
      </c>
      <c r="BW8" s="1">
        <f>0.5*($AX8+$AY8)-0.5*($AX8-$AY8)*COS(2*$BG8)-$AZ8*SIN(2*$BG8)</f>
        <v>12862.92608957992</v>
      </c>
      <c r="BX8" s="15">
        <f xml:space="preserve"> - 0.5*($AX8-$AY8)*SIN(2*$BG8) + $AZ8*COS(2*$BG8)</f>
        <v>-1676.6128787505556</v>
      </c>
      <c r="BY8" s="15">
        <f>AR8</f>
        <v>677.27625912915971</v>
      </c>
      <c r="BZ8" s="1">
        <f>0.5*($AS8+$AT8)+0.5*($AS8-$AT8)*COS(2*$BG8)</f>
        <v>1381827.5855330895</v>
      </c>
      <c r="CA8" s="15">
        <f>0.5*($AS8+$AT8)-0.5*($AS8-$AT8)*COS(2*$BG8)</f>
        <v>1228146.4527809029</v>
      </c>
      <c r="CB8" s="1">
        <f>$BC8*COS($BG8) + $BD8*SIN($BG8)</f>
        <v>1894.2646287157324</v>
      </c>
      <c r="CC8" s="15">
        <f xml:space="preserve"> - $BC8*SIN($BG8) + $BD8*COS($BG8)</f>
        <v>-34.037474562042604</v>
      </c>
      <c r="CD8" s="35">
        <f t="shared" si="27"/>
        <v>0.27425650000000001</v>
      </c>
      <c r="CF8" s="79">
        <f>$BS8*AF8</f>
        <v>33353.121529248616</v>
      </c>
      <c r="CG8" s="212">
        <f>$BS8*AE8</f>
        <v>-43359.057988023196</v>
      </c>
      <c r="CH8" s="212">
        <f>BZ8*AD8</f>
        <v>1895.3147163171855</v>
      </c>
      <c r="CI8" s="80">
        <f>CA8*AC8</f>
        <v>-62.389839801269865</v>
      </c>
      <c r="CJ8" s="114"/>
      <c r="CK8" s="20">
        <f>_xlfn.XLOOKUP(CO8,$BJ$6:$BJ$195,$BH$6:$BH$195, ,-1)</f>
        <v>2</v>
      </c>
      <c r="CL8" s="18">
        <f t="shared" si="28"/>
        <v>3</v>
      </c>
      <c r="CN8" s="53">
        <v>3</v>
      </c>
      <c r="CO8" s="208">
        <v>0.247</v>
      </c>
      <c r="CP8" s="244">
        <f t="shared" si="29"/>
        <v>0</v>
      </c>
      <c r="CQ8" s="244">
        <f t="shared" si="30"/>
        <v>0</v>
      </c>
      <c r="CR8" s="211">
        <f t="shared" si="31"/>
        <v>1.7475040575079039</v>
      </c>
      <c r="CS8" s="211">
        <f t="shared" si="32"/>
        <v>1.3771050446651601E-2</v>
      </c>
      <c r="CT8" s="211">
        <f t="shared" si="33"/>
        <v>2.0958298598977559E-3</v>
      </c>
      <c r="CU8" s="211">
        <f t="shared" si="34"/>
        <v>7.2424067327693696E-5</v>
      </c>
      <c r="CV8" s="211">
        <f t="shared" si="35"/>
        <v>3.5719288440171294E-3</v>
      </c>
      <c r="CW8" s="211">
        <f t="shared" si="36"/>
        <v>-3.5259324979273229E-4</v>
      </c>
      <c r="CX8" s="211">
        <f t="shared" si="37"/>
        <v>43730617.470660552</v>
      </c>
      <c r="CY8" s="211">
        <f t="shared" si="38"/>
        <v>17525.754600037177</v>
      </c>
      <c r="CZ8" s="211">
        <f t="shared" si="39"/>
        <v>-25089.585501490095</v>
      </c>
      <c r="DA8" s="211">
        <f t="shared" si="40"/>
        <v>1160.3360939908714</v>
      </c>
      <c r="DB8" s="211">
        <f t="shared" si="41"/>
        <v>15946.985960252125</v>
      </c>
      <c r="DC8" s="211">
        <f t="shared" si="42"/>
        <v>-2082.2898729734493</v>
      </c>
      <c r="DD8" s="211">
        <f t="shared" si="43"/>
        <v>724.83720109701426</v>
      </c>
      <c r="DE8" s="211">
        <f t="shared" si="44"/>
        <v>1571103.6072682207</v>
      </c>
      <c r="DF8" s="211">
        <f t="shared" si="45"/>
        <v>1396791.9954196201</v>
      </c>
      <c r="DG8" s="211">
        <f t="shared" si="46"/>
        <v>1350.3031055751044</v>
      </c>
      <c r="DH8" s="211">
        <f t="shared" si="47"/>
        <v>2256.507332164299</v>
      </c>
      <c r="DI8" s="203">
        <f t="shared" si="48"/>
        <v>0.247</v>
      </c>
    </row>
    <row r="9" spans="1:113">
      <c r="A9" s="47">
        <f>NASA!BI10</f>
        <v>7.0083144717075614</v>
      </c>
      <c r="B9">
        <f>NASA!BJ10</f>
        <v>0.13843</v>
      </c>
      <c r="C9">
        <f>NASA!BK10</f>
        <v>0</v>
      </c>
      <c r="D9" s="29">
        <f>NASA!BL10</f>
        <v>0.33675319999999997</v>
      </c>
      <c r="E9" s="1">
        <f>NASA!BM10</f>
        <v>1.4203200024052947</v>
      </c>
      <c r="F9" s="1">
        <f>NASA!BN10</f>
        <v>27934831.744083997</v>
      </c>
      <c r="G9" s="1">
        <f>NASA!BO10</f>
        <v>614.14033666796684</v>
      </c>
      <c r="H9" s="141">
        <f>NASA!BP10</f>
        <v>7.8739999999999995E-4</v>
      </c>
      <c r="I9" s="141">
        <f>NASA!BQ10</f>
        <v>2.8447999999999998E-3</v>
      </c>
      <c r="J9" s="141">
        <f>NASA!BR10</f>
        <v>-1.2700000000000001E-3</v>
      </c>
      <c r="K9" s="141">
        <f>NASA!BS10</f>
        <v>1.4223999999999999E-3</v>
      </c>
      <c r="L9" s="141">
        <f>NASA!BT10</f>
        <v>-1.2953999999999999E-3</v>
      </c>
      <c r="M9" s="141">
        <f>NASA!BU10</f>
        <v>1.9811999999999998E-3</v>
      </c>
      <c r="N9">
        <f>NASA!BV10</f>
        <v>992.38764813297314</v>
      </c>
      <c r="O9" s="1">
        <f>NASA!BW10</f>
        <v>11565.353069027598</v>
      </c>
      <c r="P9" s="1">
        <f>NASA!BX10</f>
        <v>-159.56169494737827</v>
      </c>
      <c r="Q9" s="1">
        <f>NASA!BY10</f>
        <v>3.0025495903274995E-5</v>
      </c>
      <c r="R9" s="1">
        <f>NASA!BZ10</f>
        <v>1.4946024627407997E-3</v>
      </c>
      <c r="S9" s="1">
        <f>NASA!CA10</f>
        <v>-2.6377954178728998E-5</v>
      </c>
      <c r="T9" s="4">
        <f>NASA!CB10</f>
        <v>4</v>
      </c>
      <c r="U9" s="159">
        <f t="shared" si="5"/>
        <v>10744166.055416921</v>
      </c>
      <c r="V9" s="247">
        <v>1350892.3741504201</v>
      </c>
      <c r="W9" s="248">
        <v>0.87</v>
      </c>
      <c r="X9" s="160">
        <v>0.77</v>
      </c>
      <c r="Y9" s="1"/>
      <c r="Z9" s="168">
        <f t="shared" si="6"/>
        <v>0</v>
      </c>
      <c r="AA9" s="156">
        <f t="shared" si="7"/>
        <v>-1.2700000000000001E-3</v>
      </c>
      <c r="AB9" s="1">
        <f t="shared" si="8"/>
        <v>1.4223999999999999E-3</v>
      </c>
      <c r="AC9" s="1">
        <f t="shared" si="0"/>
        <v>7.8739999999999995E-4</v>
      </c>
      <c r="AD9" s="1">
        <f t="shared" si="1"/>
        <v>2.8447999999999998E-3</v>
      </c>
      <c r="AE9" s="1">
        <f t="shared" si="2"/>
        <v>-1.2953999999999999E-3</v>
      </c>
      <c r="AF9" s="15">
        <f t="shared" si="3"/>
        <v>1.9811999999999998E-3</v>
      </c>
      <c r="AH9" s="42">
        <f t="shared" si="4"/>
        <v>7.0083144717075614</v>
      </c>
      <c r="AI9" s="42">
        <f t="shared" si="9"/>
        <v>0.12231816254646392</v>
      </c>
      <c r="AJ9" s="7">
        <f t="shared" si="10"/>
        <v>-1.4340629644054804E-3</v>
      </c>
      <c r="AK9" s="7">
        <f t="shared" si="11"/>
        <v>1.2568154892905186E-3</v>
      </c>
      <c r="AL9" s="7">
        <f t="shared" si="12"/>
        <v>4.3441325612359263E-4</v>
      </c>
      <c r="AM9" s="7">
        <f t="shared" si="13"/>
        <v>2.9196182837665776E-3</v>
      </c>
      <c r="AN9" s="7">
        <f t="shared" si="14"/>
        <v>-1.5274542613445371E-3</v>
      </c>
      <c r="AO9" s="23">
        <f t="shared" si="15"/>
        <v>1.8083412508429967E-3</v>
      </c>
      <c r="AP9" s="24"/>
      <c r="AQ9" s="10"/>
      <c r="AR9" s="69">
        <f t="shared" si="16"/>
        <v>614.14033666796684</v>
      </c>
      <c r="AS9" s="180" cm="1">
        <f t="array" ref="AS9">W9 * _xlfn.IFS( $AT$4="P", $U9,  $AT$4="A", $V9)</f>
        <v>1175276.3655108653</v>
      </c>
      <c r="AT9" s="180" cm="1">
        <f t="array" ref="AT9">X9 * _xlfn.IFS( $AT$4="P", $U9,  $AT$4="A", $V9)</f>
        <v>1040187.1280958235</v>
      </c>
      <c r="AU9" s="183">
        <f t="shared" si="17"/>
        <v>3.2269012321581281E-5</v>
      </c>
      <c r="AV9" s="180">
        <f t="shared" si="18"/>
        <v>1.4975234027894025E-3</v>
      </c>
      <c r="AW9" s="15">
        <f t="shared" si="19"/>
        <v>-2.8937871551600412E-5</v>
      </c>
      <c r="AX9" s="1">
        <f t="shared" si="20"/>
        <v>1083.7372877704695</v>
      </c>
      <c r="AY9" s="1">
        <f t="shared" si="21"/>
        <v>11630.528286467097</v>
      </c>
      <c r="AZ9" s="67">
        <f t="shared" si="22"/>
        <v>-236.72212927996651</v>
      </c>
      <c r="BA9" s="1">
        <f t="shared" si="23"/>
        <v>50515.708578185506</v>
      </c>
      <c r="BB9" s="15">
        <f t="shared" si="24"/>
        <v>-42669.177787443747</v>
      </c>
      <c r="BC9" s="1">
        <f t="shared" si="25"/>
        <v>3431.3583652242537</v>
      </c>
      <c r="BD9" s="67">
        <f t="shared" si="26"/>
        <v>451.87107729395524</v>
      </c>
      <c r="BF9" s="185">
        <f xml:space="preserve"> IF($BF$3=1, -A9, 0)</f>
        <v>-7.0083144717075614</v>
      </c>
      <c r="BG9" s="34">
        <f t="shared" si="49"/>
        <v>-0.12231816254646392</v>
      </c>
      <c r="BH9" s="188">
        <v>4</v>
      </c>
      <c r="BI9" s="189">
        <f t="shared" si="50"/>
        <v>0.33675319999999997</v>
      </c>
      <c r="BJ9" s="192">
        <f>D9</f>
        <v>0.33675319999999997</v>
      </c>
      <c r="BK9" s="189">
        <f>C9</f>
        <v>0</v>
      </c>
      <c r="BL9" s="86">
        <v>0</v>
      </c>
      <c r="BM9" s="69">
        <f>E9</f>
        <v>1.4203200024052947</v>
      </c>
      <c r="BN9" s="180">
        <f>AJ9</f>
        <v>-1.4340629644054804E-3</v>
      </c>
      <c r="BO9" s="69">
        <f>AK9</f>
        <v>1.2568154892905186E-3</v>
      </c>
      <c r="BP9" s="1">
        <f>0.5*($AU9+$AV9)+0.5*($AU9-$AV9)*COS(2*$BG9) + $AW9*SIN(2*$BG9)</f>
        <v>6.1091494522408403E-5</v>
      </c>
      <c r="BQ9" s="1">
        <f>0.5*($AU9+$AV9)-0.5*($AU9-$AV9)*COS(2*$BG9)-$AW9*SIN(2*$BG9)</f>
        <v>1.4687009205885753E-3</v>
      </c>
      <c r="BR9" s="15">
        <f xml:space="preserve"> - 0.5*($AU9-$AV9)*SIN(2*$BG9) + $AW9*COS(2*$BG9)</f>
        <v>-2.0552112669665546E-4</v>
      </c>
      <c r="BS9" s="180">
        <f>F9</f>
        <v>27934831.744083997</v>
      </c>
      <c r="BT9" s="1">
        <f>$BA9*COS($BG9) + $BB9*SIN($BG9)</f>
        <v>55344.488651379208</v>
      </c>
      <c r="BU9" s="15">
        <f xml:space="preserve"> - $BA9*SIN($BG9) + $BB9*COS($BG9)</f>
        <v>-36186.781041286406</v>
      </c>
      <c r="BV9" s="1">
        <f>0.5*($AX9+$AY9)+0.5*($AX9-$AY9)*COS(2*$BG9) + $AZ9*SIN(2*$BG9)</f>
        <v>1298.0850741258919</v>
      </c>
      <c r="BW9" s="1">
        <f>0.5*($AX9+$AY9)-0.5*($AX9-$AY9)*COS(2*$BG9)-$AZ9*SIN(2*$BG9)</f>
        <v>11416.180500111674</v>
      </c>
      <c r="BX9" s="15">
        <f xml:space="preserve"> - 0.5*($AX9-$AY9)*SIN(2*$BG9) + $AZ9*COS(2*$BG9)</f>
        <v>-1506.9086557251217</v>
      </c>
      <c r="BY9" s="15">
        <f>AR9</f>
        <v>614.14033666796684</v>
      </c>
      <c r="BZ9" s="1">
        <f>0.5*($AS9+$AT9)+0.5*($AS9-$AT9)*COS(2*$BG9)</f>
        <v>1173265.2564012944</v>
      </c>
      <c r="CA9" s="15">
        <f>0.5*($AS9+$AT9)-0.5*($AS9-$AT9)*COS(2*$BG9)</f>
        <v>1042198.2372053947</v>
      </c>
      <c r="CB9" s="1">
        <f>$BC9*COS($BG9) + $BD9*SIN($BG9)</f>
        <v>3350.5865053027014</v>
      </c>
      <c r="CC9" s="15">
        <f xml:space="preserve"> - $BC9*SIN($BG9) + $BD9*COS($BG9)</f>
        <v>867.1665189412555</v>
      </c>
      <c r="CD9" s="35">
        <f t="shared" si="27"/>
        <v>0.33675319999999997</v>
      </c>
      <c r="CF9" s="79">
        <f>$BS9*AF9</f>
        <v>55344.488651379208</v>
      </c>
      <c r="CG9" s="212">
        <f>$BS9*AE9</f>
        <v>-36186.781041286406</v>
      </c>
      <c r="CH9" s="212">
        <f>BZ9*AD9</f>
        <v>3337.705001410402</v>
      </c>
      <c r="CI9" s="80">
        <f>CA9*AC9</f>
        <v>820.62689197552766</v>
      </c>
      <c r="CJ9" s="114"/>
      <c r="CK9" s="20">
        <f t="shared" ref="CK9:CK27" si="51">_xlfn.XLOOKUP(CO9,$BJ$6:$BJ$195,$BH$6:$BH$195, ,-1)</f>
        <v>3</v>
      </c>
      <c r="CL9" s="18">
        <f t="shared" ref="CL9:CL26" si="52">CK9+1</f>
        <v>4</v>
      </c>
      <c r="CN9" s="53">
        <v>4</v>
      </c>
      <c r="CO9" s="208">
        <v>0.33189999999999997</v>
      </c>
      <c r="CP9" s="244">
        <f t="shared" si="29"/>
        <v>0</v>
      </c>
      <c r="CQ9" s="244">
        <f t="shared" si="30"/>
        <v>0</v>
      </c>
      <c r="CR9" s="211">
        <f t="shared" si="31"/>
        <v>1.4272803902216358</v>
      </c>
      <c r="CS9" s="211">
        <f t="shared" si="32"/>
        <v>-1.3639540604117521E-3</v>
      </c>
      <c r="CT9" s="211">
        <f t="shared" si="33"/>
        <v>1.215442594403445E-3</v>
      </c>
      <c r="CU9" s="211">
        <f t="shared" si="34"/>
        <v>6.0832524169738474E-5</v>
      </c>
      <c r="CV9" s="211">
        <f t="shared" si="35"/>
        <v>1.4777761575157891E-3</v>
      </c>
      <c r="CW9" s="211">
        <f t="shared" si="36"/>
        <v>-2.0623863762135255E-4</v>
      </c>
      <c r="CX9" s="211">
        <f t="shared" si="37"/>
        <v>28314802.52746474</v>
      </c>
      <c r="CY9" s="211">
        <f t="shared" si="38"/>
        <v>53636.742435705033</v>
      </c>
      <c r="CZ9" s="211">
        <f t="shared" si="39"/>
        <v>-36743.74636070172</v>
      </c>
      <c r="DA9" s="211">
        <f t="shared" si="40"/>
        <v>1285.9457838065698</v>
      </c>
      <c r="DB9" s="211">
        <f t="shared" si="41"/>
        <v>11528.52796317464</v>
      </c>
      <c r="DC9" s="211">
        <f t="shared" si="42"/>
        <v>-1520.0870881093442</v>
      </c>
      <c r="DD9" s="211">
        <f t="shared" si="43"/>
        <v>619.04317568008526</v>
      </c>
      <c r="DE9" s="211">
        <f t="shared" si="44"/>
        <v>1189461.226680404</v>
      </c>
      <c r="DF9" s="211">
        <f t="shared" si="45"/>
        <v>1056638.1017075372</v>
      </c>
      <c r="DG9" s="211">
        <f t="shared" si="46"/>
        <v>3237.4953927887304</v>
      </c>
      <c r="DH9" s="211">
        <f t="shared" si="47"/>
        <v>797.18325228445258</v>
      </c>
      <c r="DI9" s="203">
        <f t="shared" si="48"/>
        <v>0.33189999999999997</v>
      </c>
    </row>
    <row r="10" spans="1:113">
      <c r="A10" s="47">
        <f>NASA!BI11</f>
        <v>5.0840030045067603</v>
      </c>
      <c r="B10">
        <f>NASA!BJ11</f>
        <v>0.13843</v>
      </c>
      <c r="C10">
        <f>NASA!BK11</f>
        <v>0</v>
      </c>
      <c r="D10" s="29">
        <f>NASA!BL11</f>
        <v>0.56815990000000005</v>
      </c>
      <c r="E10" s="1">
        <f>NASA!BM11</f>
        <v>1.0893716523302746</v>
      </c>
      <c r="F10" s="1">
        <f>NASA!BN11</f>
        <v>27534491.798706997</v>
      </c>
      <c r="G10" s="1">
        <f>NASA!BO11</f>
        <v>484.99867708825417</v>
      </c>
      <c r="H10" s="141">
        <f>NASA!BP11</f>
        <v>2.0574E-3</v>
      </c>
      <c r="I10" s="141">
        <f>NASA!BQ11</f>
        <v>3.4036000000000001E-3</v>
      </c>
      <c r="J10" s="141">
        <f>NASA!BR11</f>
        <v>1.6891E-2</v>
      </c>
      <c r="K10" s="141">
        <f>NASA!BS11</f>
        <v>1.4223999999999999E-3</v>
      </c>
      <c r="L10" s="141">
        <f>NASA!BT11</f>
        <v>-6.603999999999999E-4</v>
      </c>
      <c r="M10" s="141">
        <f>NASA!BU11</f>
        <v>2.8447999999999998E-3</v>
      </c>
      <c r="N10">
        <f>NASA!BV11</f>
        <v>743.87891769640339</v>
      </c>
      <c r="O10" s="1">
        <f>NASA!BW11</f>
        <v>11278.371603294905</v>
      </c>
      <c r="P10" s="1">
        <f>NASA!BX11</f>
        <v>-55.961385817875481</v>
      </c>
      <c r="Q10" s="1">
        <f>NASA!BY11</f>
        <v>2.9091369364061997E-5</v>
      </c>
      <c r="R10" s="1">
        <f>NASA!BZ11</f>
        <v>1.1654340632085999E-3</v>
      </c>
      <c r="S10" s="1">
        <f>NASA!CA11</f>
        <v>1.2543984955146E-5</v>
      </c>
      <c r="T10" s="4">
        <f>NASA!CB11</f>
        <v>5</v>
      </c>
      <c r="U10" s="159">
        <f t="shared" si="5"/>
        <v>10590189.153348844</v>
      </c>
      <c r="V10" s="247">
        <v>1091553.3731159701</v>
      </c>
      <c r="W10" s="248">
        <v>0.87</v>
      </c>
      <c r="X10" s="160">
        <v>0.77</v>
      </c>
      <c r="Y10" s="1"/>
      <c r="Z10" s="168">
        <f t="shared" si="6"/>
        <v>0</v>
      </c>
      <c r="AA10" s="156">
        <f t="shared" si="7"/>
        <v>1.6891E-2</v>
      </c>
      <c r="AB10" s="1">
        <f t="shared" si="8"/>
        <v>1.4223999999999999E-3</v>
      </c>
      <c r="AC10" s="1">
        <f t="shared" si="0"/>
        <v>2.0574E-3</v>
      </c>
      <c r="AD10" s="1">
        <f t="shared" si="1"/>
        <v>3.4036000000000001E-3</v>
      </c>
      <c r="AE10" s="1">
        <f t="shared" si="2"/>
        <v>-6.603999999999999E-4</v>
      </c>
      <c r="AF10" s="15">
        <f t="shared" si="3"/>
        <v>2.8447999999999998E-3</v>
      </c>
      <c r="AH10" s="42">
        <f t="shared" si="4"/>
        <v>5.0840030045067603</v>
      </c>
      <c r="AI10" s="42">
        <f t="shared" si="9"/>
        <v>8.8732591609927081E-2</v>
      </c>
      <c r="AJ10" s="7">
        <f t="shared" si="10"/>
        <v>1.6698500522310443E-2</v>
      </c>
      <c r="AK10" s="7">
        <f t="shared" si="11"/>
        <v>2.9136202680510514E-3</v>
      </c>
      <c r="AL10" s="7">
        <f t="shared" si="12"/>
        <v>1.7476917781384538E-3</v>
      </c>
      <c r="AM10" s="7">
        <f t="shared" si="13"/>
        <v>3.5725286798886932E-3</v>
      </c>
      <c r="AN10" s="7">
        <f t="shared" si="14"/>
        <v>-9.09897246120655E-4</v>
      </c>
      <c r="AO10" s="23">
        <f t="shared" si="15"/>
        <v>2.7750859809205996E-3</v>
      </c>
      <c r="AP10" s="24"/>
      <c r="AQ10" s="10"/>
      <c r="AR10" s="69">
        <f t="shared" si="16"/>
        <v>484.99867708825417</v>
      </c>
      <c r="AS10" s="180" cm="1">
        <f t="array" ref="AS10">W10 * _xlfn.IFS( $AT$4="P", $U10,  $AT$4="A", $V10)</f>
        <v>949651.43461089395</v>
      </c>
      <c r="AT10" s="180" cm="1">
        <f t="array" ref="AT10">X10 * _xlfn.IFS( $AT$4="P", $U10,  $AT$4="A", $V10)</f>
        <v>840496.09729929699</v>
      </c>
      <c r="AU10" s="183">
        <f t="shared" si="17"/>
        <v>3.8339244748038046E-5</v>
      </c>
      <c r="AV10" s="180">
        <f t="shared" si="18"/>
        <v>1.4691943672608605E-3</v>
      </c>
      <c r="AW10" s="15">
        <f t="shared" si="19"/>
        <v>6.55452815286637E-5</v>
      </c>
      <c r="AX10" s="1">
        <f t="shared" si="20"/>
        <v>955.92485310466589</v>
      </c>
      <c r="AY10" s="1">
        <f t="shared" si="21"/>
        <v>11301.167766962089</v>
      </c>
      <c r="AZ10" s="67">
        <f t="shared" si="22"/>
        <v>-125.4871641200854</v>
      </c>
      <c r="BA10" s="1">
        <f t="shared" si="23"/>
        <v>76410.582182365019</v>
      </c>
      <c r="BB10" s="15">
        <f t="shared" si="24"/>
        <v>-25053.558260975256</v>
      </c>
      <c r="BC10" s="1">
        <f t="shared" si="25"/>
        <v>3392.6569860448608</v>
      </c>
      <c r="BD10" s="67">
        <f t="shared" si="26"/>
        <v>1468.9281188074392</v>
      </c>
      <c r="BF10" s="185">
        <f xml:space="preserve"> IF($BF$3=1, -A10, 0)</f>
        <v>-5.0840030045067603</v>
      </c>
      <c r="BG10" s="34">
        <f t="shared" si="49"/>
        <v>-8.8732591609927081E-2</v>
      </c>
      <c r="BH10" s="188">
        <v>5</v>
      </c>
      <c r="BI10" s="189">
        <f t="shared" si="50"/>
        <v>0.56815990000000005</v>
      </c>
      <c r="BJ10" s="192">
        <f>D10</f>
        <v>0.56815990000000005</v>
      </c>
      <c r="BK10" s="189">
        <f>C10</f>
        <v>0</v>
      </c>
      <c r="BL10" s="86">
        <v>0</v>
      </c>
      <c r="BM10" s="69">
        <f>E10</f>
        <v>1.0893716523302746</v>
      </c>
      <c r="BN10" s="180">
        <f>AJ10</f>
        <v>1.6698500522310443E-2</v>
      </c>
      <c r="BO10" s="69">
        <f>AK10</f>
        <v>2.9136202680510514E-3</v>
      </c>
      <c r="BP10" s="1">
        <f>0.5*($AU10+$AV10)+0.5*($AU10-$AV10)*COS(2*$BG10) + $AW10*SIN(2*$BG10)</f>
        <v>3.8004462407414209E-5</v>
      </c>
      <c r="BQ10" s="1">
        <f>0.5*($AU10+$AV10)-0.5*($AU10-$AV10)*COS(2*$BG10)-$AW10*SIN(2*$BG10)</f>
        <v>1.4695291496014842E-3</v>
      </c>
      <c r="BR10" s="15">
        <f xml:space="preserve"> - 0.5*($AU10-$AV10)*SIN(2*$BG10) + $AW10*COS(2*$BG10)</f>
        <v>-6.1782253313128922E-5</v>
      </c>
      <c r="BS10" s="180">
        <f>F10</f>
        <v>27534491.798706997</v>
      </c>
      <c r="BT10" s="1">
        <f>$BA10*COS($BG10) + $BB10*SIN($BG10)</f>
        <v>78330.12226896167</v>
      </c>
      <c r="BU10" s="15">
        <f xml:space="preserve"> - $BA10*SIN($BG10) + $BB10*COS($BG10)</f>
        <v>-18183.778383866094</v>
      </c>
      <c r="BV10" s="1">
        <f>0.5*($AX10+$AY10)+0.5*($AX10-$AY10)*COS(2*$BG10) + $AZ10*SIN(2*$BG10)</f>
        <v>1059.3171873641497</v>
      </c>
      <c r="BW10" s="1">
        <f>0.5*($AX10+$AY10)-0.5*($AX10-$AY10)*COS(2*$BG10)-$AZ10*SIN(2*$BG10)</f>
        <v>11197.775432702603</v>
      </c>
      <c r="BX10" s="15">
        <f xml:space="preserve"> - 0.5*($AX10-$AY10)*SIN(2*$BG10) + $AZ10*COS(2*$BG10)</f>
        <v>-1036.6657450308605</v>
      </c>
      <c r="BY10" s="15">
        <f>AR10</f>
        <v>484.99867708825417</v>
      </c>
      <c r="BZ10" s="1">
        <f>0.5*($AS10+$AT10)+0.5*($AS10-$AT10)*COS(2*$BG10)</f>
        <v>948794.25623392547</v>
      </c>
      <c r="CA10" s="15">
        <f>0.5*($AS10+$AT10)-0.5*($AS10-$AT10)*COS(2*$BG10)</f>
        <v>841353.27567626536</v>
      </c>
      <c r="CB10" s="1">
        <f>$BC10*COS($BG10) + $BD10*SIN($BG10)</f>
        <v>3249.138924888</v>
      </c>
      <c r="CC10" s="15">
        <f xml:space="preserve"> - $BC10*SIN($BG10) + $BD10*COS($BG10)</f>
        <v>1763.7934941369442</v>
      </c>
      <c r="CD10" s="35">
        <f t="shared" si="27"/>
        <v>0.56815990000000005</v>
      </c>
      <c r="CF10" s="79">
        <f>$BS10*AF10</f>
        <v>78330.122268961655</v>
      </c>
      <c r="CG10" s="212">
        <f>$BS10*AE10</f>
        <v>-18183.778383866098</v>
      </c>
      <c r="CH10" s="212">
        <f>BZ10*AD10</f>
        <v>3229.3161305177887</v>
      </c>
      <c r="CI10" s="80">
        <f>CA10*AC10</f>
        <v>1731.0002293763484</v>
      </c>
      <c r="CJ10" s="114"/>
      <c r="CK10" s="20">
        <f t="shared" si="51"/>
        <v>4</v>
      </c>
      <c r="CL10" s="18">
        <f t="shared" si="52"/>
        <v>5</v>
      </c>
      <c r="CN10" s="53">
        <v>5</v>
      </c>
      <c r="CO10" s="208">
        <v>0.41570000000000001</v>
      </c>
      <c r="CP10" s="244">
        <f t="shared" si="29"/>
        <v>0</v>
      </c>
      <c r="CQ10" s="244">
        <f t="shared" si="30"/>
        <v>0</v>
      </c>
      <c r="CR10" s="211">
        <f t="shared" si="31"/>
        <v>1.3074135342533242</v>
      </c>
      <c r="CS10" s="211">
        <f t="shared" si="32"/>
        <v>4.7520494648070908E-3</v>
      </c>
      <c r="CT10" s="211">
        <f t="shared" si="33"/>
        <v>1.8220516536187428E-3</v>
      </c>
      <c r="CU10" s="211">
        <f t="shared" si="34"/>
        <v>5.3215113644170976E-5</v>
      </c>
      <c r="CV10" s="211">
        <f t="shared" si="35"/>
        <v>1.4689834795215549E-3</v>
      </c>
      <c r="CW10" s="211">
        <f t="shared" si="36"/>
        <v>-1.5648311660777472E-4</v>
      </c>
      <c r="CX10" s="211">
        <f t="shared" si="37"/>
        <v>27798251.612222262</v>
      </c>
      <c r="CY10" s="211">
        <f t="shared" si="38"/>
        <v>63186.27637870326</v>
      </c>
      <c r="CZ10" s="211">
        <f t="shared" si="39"/>
        <v>-30044.869635113508</v>
      </c>
      <c r="DA10" s="211">
        <f t="shared" si="40"/>
        <v>1216.6269287800487</v>
      </c>
      <c r="DB10" s="211">
        <f t="shared" si="41"/>
        <v>11341.669342155874</v>
      </c>
      <c r="DC10" s="211">
        <f t="shared" si="42"/>
        <v>-1346.4804009598201</v>
      </c>
      <c r="DD10" s="211">
        <f t="shared" si="43"/>
        <v>570.08231773200839</v>
      </c>
      <c r="DE10" s="211">
        <f t="shared" si="44"/>
        <v>1096684.6424604999</v>
      </c>
      <c r="DF10" s="211">
        <f t="shared" si="45"/>
        <v>973677.89181847253</v>
      </c>
      <c r="DG10" s="211">
        <f t="shared" si="46"/>
        <v>3315.9766092129021</v>
      </c>
      <c r="DH10" s="211">
        <f t="shared" si="47"/>
        <v>1173.0601274036683</v>
      </c>
      <c r="DI10" s="203">
        <f t="shared" si="48"/>
        <v>0.41570000000000001</v>
      </c>
    </row>
    <row r="11" spans="1:113">
      <c r="A11" s="47">
        <f>NASA!BI12</f>
        <v>4.859265898848272</v>
      </c>
      <c r="B11">
        <f>NASA!BJ12</f>
        <v>0.13843</v>
      </c>
      <c r="C11">
        <f>NASA!BK12</f>
        <v>0</v>
      </c>
      <c r="D11" s="29">
        <f>NASA!BL12</f>
        <v>0.59518550000000003</v>
      </c>
      <c r="E11" s="1">
        <f>NASA!BM12</f>
        <v>1.0824768950370449</v>
      </c>
      <c r="F11" s="1">
        <f>NASA!BN12</f>
        <v>27534491.798706997</v>
      </c>
      <c r="G11" s="1">
        <f>NASA!BO12</f>
        <v>482.1288624309272</v>
      </c>
      <c r="H11" s="141">
        <f>NASA!BP12</f>
        <v>2.2605999999999998E-3</v>
      </c>
      <c r="I11" s="141">
        <f>NASA!BQ12</f>
        <v>2.3113999999999999E-3</v>
      </c>
      <c r="J11" s="141">
        <f>NASA!BR12</f>
        <v>1.6764000000000001E-2</v>
      </c>
      <c r="K11" s="141">
        <f>NASA!BS12</f>
        <v>2.4637999999999999E-3</v>
      </c>
      <c r="L11" s="141">
        <f>NASA!BT12</f>
        <v>-6.3500000000000004E-4</v>
      </c>
      <c r="M11" s="141">
        <f>NASA!BU12</f>
        <v>1.1937999999999999E-3</v>
      </c>
      <c r="N11">
        <f>NASA!BV12</f>
        <v>740.76803860786094</v>
      </c>
      <c r="O11" s="1">
        <f>NASA!BW12</f>
        <v>11249.673456721635</v>
      </c>
      <c r="P11" s="1">
        <f>NASA!BX12</f>
        <v>-200.02608161568824</v>
      </c>
      <c r="Q11" s="1">
        <f>NASA!BY12</f>
        <v>2.8602064986378998E-5</v>
      </c>
      <c r="R11" s="1">
        <f>NASA!BZ12</f>
        <v>1.1698822848238998E-3</v>
      </c>
      <c r="S11" s="1">
        <f>NASA!CA12</f>
        <v>-5.1154548575949996E-6</v>
      </c>
      <c r="T11" s="4">
        <f>NASA!CB12</f>
        <v>6</v>
      </c>
      <c r="U11" s="159">
        <f t="shared" si="5"/>
        <v>10590189.153348844</v>
      </c>
      <c r="V11" s="247">
        <v>1083181.52088559</v>
      </c>
      <c r="W11" s="248">
        <v>0.87</v>
      </c>
      <c r="X11" s="160">
        <v>0.77</v>
      </c>
      <c r="Y11" s="1"/>
      <c r="Z11" s="168">
        <f t="shared" si="6"/>
        <v>0</v>
      </c>
      <c r="AA11" s="156">
        <f t="shared" si="7"/>
        <v>1.6764000000000001E-2</v>
      </c>
      <c r="AB11" s="1">
        <f t="shared" si="8"/>
        <v>2.4637999999999999E-3</v>
      </c>
      <c r="AC11" s="1">
        <f t="shared" si="0"/>
        <v>2.2605999999999998E-3</v>
      </c>
      <c r="AD11" s="1">
        <f t="shared" si="1"/>
        <v>2.3113999999999999E-3</v>
      </c>
      <c r="AE11" s="1">
        <f t="shared" si="2"/>
        <v>-6.3500000000000004E-4</v>
      </c>
      <c r="AF11" s="15">
        <f t="shared" si="3"/>
        <v>1.1937999999999999E-3</v>
      </c>
      <c r="AH11" s="42">
        <f t="shared" si="4"/>
        <v>4.859265898848272</v>
      </c>
      <c r="AI11" s="42">
        <f t="shared" si="9"/>
        <v>8.4810189164784083E-2</v>
      </c>
      <c r="AJ11" s="7">
        <f t="shared" si="10"/>
        <v>1.6495041406358709E-2</v>
      </c>
      <c r="AK11" s="7">
        <f t="shared" si="11"/>
        <v>3.8749987667755078E-3</v>
      </c>
      <c r="AL11" s="7">
        <f t="shared" si="12"/>
        <v>2.0566795303566328E-3</v>
      </c>
      <c r="AM11" s="7">
        <f t="shared" si="13"/>
        <v>2.4945844602682868E-3</v>
      </c>
      <c r="AN11" s="7">
        <f t="shared" si="14"/>
        <v>-7.3384273843480957E-4</v>
      </c>
      <c r="AO11" s="23">
        <f t="shared" si="15"/>
        <v>1.1357192766024969E-3</v>
      </c>
      <c r="AP11" s="24"/>
      <c r="AQ11" s="10"/>
      <c r="AR11" s="69">
        <f t="shared" si="16"/>
        <v>482.1288624309272</v>
      </c>
      <c r="AS11" s="180" cm="1">
        <f t="array" ref="AS11">W11 * _xlfn.IFS( $AT$4="P", $U11,  $AT$4="A", $V11)</f>
        <v>942367.9231704633</v>
      </c>
      <c r="AT11" s="180" cm="1">
        <f t="array" ref="AT11">X11 * _xlfn.IFS( $AT$4="P", $U11,  $AT$4="A", $V11)</f>
        <v>834049.7710819043</v>
      </c>
      <c r="AU11" s="183">
        <f t="shared" si="17"/>
        <v>4.485612176765937E-5</v>
      </c>
      <c r="AV11" s="180">
        <f t="shared" si="18"/>
        <v>1.4644095165326962E-3</v>
      </c>
      <c r="AW11" s="15">
        <f t="shared" si="19"/>
        <v>6.4074590292181438E-5</v>
      </c>
      <c r="AX11" s="1">
        <f t="shared" si="20"/>
        <v>776.28363070912997</v>
      </c>
      <c r="AY11" s="1">
        <f t="shared" si="21"/>
        <v>11264.501473453938</v>
      </c>
      <c r="AZ11" s="67">
        <f t="shared" si="22"/>
        <v>-222.97441039874457</v>
      </c>
      <c r="BA11" s="1">
        <f t="shared" si="23"/>
        <v>31271.453107244892</v>
      </c>
      <c r="BB11" s="15">
        <f t="shared" si="24"/>
        <v>-20205.986862973947</v>
      </c>
      <c r="BC11" s="1">
        <f t="shared" si="25"/>
        <v>2350.8163769963367</v>
      </c>
      <c r="BD11" s="67">
        <f t="shared" si="26"/>
        <v>1715.3730914827881</v>
      </c>
      <c r="BF11" s="185">
        <f xml:space="preserve"> IF($BF$3=1, -A11, 0)</f>
        <v>-4.859265898848272</v>
      </c>
      <c r="BG11" s="34">
        <f t="shared" si="49"/>
        <v>-8.4810189164784083E-2</v>
      </c>
      <c r="BH11" s="188">
        <v>6</v>
      </c>
      <c r="BI11" s="189">
        <f t="shared" si="50"/>
        <v>0.59518550000000003</v>
      </c>
      <c r="BJ11" s="192">
        <f>D11</f>
        <v>0.59518550000000003</v>
      </c>
      <c r="BK11" s="189">
        <f>C11</f>
        <v>0</v>
      </c>
      <c r="BL11" s="86">
        <v>0</v>
      </c>
      <c r="BM11" s="69">
        <f>E11</f>
        <v>1.0824768950370449</v>
      </c>
      <c r="BN11" s="180">
        <f>AJ11</f>
        <v>1.6495041406358709E-2</v>
      </c>
      <c r="BO11" s="69">
        <f>AK11</f>
        <v>3.8749987667755078E-3</v>
      </c>
      <c r="BP11" s="1">
        <f>0.5*($AU11+$AV11)+0.5*($AU11-$AV11)*COS(2*$BG11) + $AW11*SIN(2*$BG11)</f>
        <v>4.422586764374677E-5</v>
      </c>
      <c r="BQ11" s="1">
        <f>0.5*($AU11+$AV11)-0.5*($AU11-$AV11)*COS(2*$BG11)-$AW11*SIN(2*$BG11)</f>
        <v>1.4650397706566089E-3</v>
      </c>
      <c r="BR11" s="15">
        <f xml:space="preserve"> - 0.5*($AU11-$AV11)*SIN(2*$BG11) + $AW11*COS(2*$BG11)</f>
        <v>-5.6661067053890996E-5</v>
      </c>
      <c r="BS11" s="180">
        <f>F11</f>
        <v>27534491.798706997</v>
      </c>
      <c r="BT11" s="1">
        <f>$BA11*COS($BG11) + $BB11*SIN($BG11)</f>
        <v>32870.676309296403</v>
      </c>
      <c r="BU11" s="15">
        <f xml:space="preserve"> - $BA11*SIN($BG11) + $BB11*COS($BG11)</f>
        <v>-17484.40229217894</v>
      </c>
      <c r="BV11" s="1">
        <f>0.5*($AX11+$AY11)+0.5*($AX11-$AY11)*COS(2*$BG11) + $AZ11*SIN(2*$BG11)</f>
        <v>889.18215728877431</v>
      </c>
      <c r="BW11" s="1">
        <f>0.5*($AX11+$AY11)-0.5*($AX11-$AY11)*COS(2*$BG11)-$AZ11*SIN(2*$BG11)</f>
        <v>11151.602946874293</v>
      </c>
      <c r="BX11" s="15">
        <f xml:space="preserve"> - 0.5*($AX11-$AY11)*SIN(2*$BG11) + $AZ11*COS(2*$BG11)</f>
        <v>-1105.0230093898713</v>
      </c>
      <c r="BY11" s="15">
        <f>AR11</f>
        <v>482.1288624309272</v>
      </c>
      <c r="BZ11" s="1">
        <f>0.5*($AS11+$AT11)+0.5*($AS11-$AT11)*COS(2*$BG11)</f>
        <v>941590.68200113752</v>
      </c>
      <c r="CA11" s="15">
        <f>0.5*($AS11+$AT11)-0.5*($AS11-$AT11)*COS(2*$BG11)</f>
        <v>834827.01225123007</v>
      </c>
      <c r="CB11" s="1">
        <f>$BC11*COS($BG11) + $BD11*SIN($BG11)</f>
        <v>2197.0602276287832</v>
      </c>
      <c r="CC11" s="15">
        <f xml:space="preserve"> - $BC11*SIN($BG11) + $BD11*COS($BG11)</f>
        <v>1908.3419079161781</v>
      </c>
      <c r="CD11" s="35">
        <f t="shared" si="27"/>
        <v>0.59518550000000003</v>
      </c>
      <c r="CF11" s="79">
        <f>$BS11*AF11</f>
        <v>32870.67630929641</v>
      </c>
      <c r="CG11" s="212">
        <f>$BS11*AE11</f>
        <v>-17484.402292178944</v>
      </c>
      <c r="CH11" s="212">
        <f>BZ11*AD11</f>
        <v>2176.392702377429</v>
      </c>
      <c r="CI11" s="80">
        <f>CA11*AC11</f>
        <v>1887.2099438951304</v>
      </c>
      <c r="CJ11" s="114"/>
      <c r="CK11" s="20">
        <f t="shared" si="51"/>
        <v>4</v>
      </c>
      <c r="CL11" s="18">
        <f t="shared" si="52"/>
        <v>5</v>
      </c>
      <c r="CN11" s="53">
        <v>6</v>
      </c>
      <c r="CO11" s="208">
        <v>0.50129999999999997</v>
      </c>
      <c r="CP11" s="244">
        <f t="shared" si="29"/>
        <v>0</v>
      </c>
      <c r="CQ11" s="244">
        <f t="shared" si="30"/>
        <v>0</v>
      </c>
      <c r="CR11" s="211">
        <f t="shared" si="31"/>
        <v>1.1849919329495515</v>
      </c>
      <c r="CS11" s="211">
        <f t="shared" si="32"/>
        <v>1.1459493261649972E-2</v>
      </c>
      <c r="CT11" s="211">
        <f t="shared" si="33"/>
        <v>2.434922798066598E-3</v>
      </c>
      <c r="CU11" s="211">
        <f t="shared" si="34"/>
        <v>4.4674954914784574E-5</v>
      </c>
      <c r="CV11" s="211">
        <f t="shared" si="35"/>
        <v>1.4692898509598279E-3</v>
      </c>
      <c r="CW11" s="211">
        <f t="shared" si="36"/>
        <v>-1.0331245403996722E-4</v>
      </c>
      <c r="CX11" s="211">
        <f t="shared" si="37"/>
        <v>27650161.261665121</v>
      </c>
      <c r="CY11" s="211">
        <f t="shared" si="38"/>
        <v>71688.926637598342</v>
      </c>
      <c r="CZ11" s="211">
        <f t="shared" si="39"/>
        <v>-23385.351879252605</v>
      </c>
      <c r="DA11" s="211">
        <f t="shared" si="40"/>
        <v>1128.3039411275518</v>
      </c>
      <c r="DB11" s="211">
        <f t="shared" si="41"/>
        <v>11260.87879559773</v>
      </c>
      <c r="DC11" s="211">
        <f t="shared" si="42"/>
        <v>-1172.5321394988136</v>
      </c>
      <c r="DD11" s="211">
        <f t="shared" si="43"/>
        <v>522.31133244928583</v>
      </c>
      <c r="DE11" s="211">
        <f t="shared" si="44"/>
        <v>1013650.2376039129</v>
      </c>
      <c r="DF11" s="211">
        <f t="shared" si="45"/>
        <v>899383.03040394373</v>
      </c>
      <c r="DG11" s="211">
        <f t="shared" si="46"/>
        <v>3278.4499823542224</v>
      </c>
      <c r="DH11" s="211">
        <f t="shared" si="47"/>
        <v>1504.7327586487916</v>
      </c>
      <c r="DI11" s="203">
        <f t="shared" si="48"/>
        <v>0.50129999999999997</v>
      </c>
    </row>
    <row r="12" spans="1:113">
      <c r="A12" s="47">
        <f>NASA!BI13</f>
        <v>3.9603174762143216</v>
      </c>
      <c r="B12">
        <f>NASA!BJ13</f>
        <v>0.13843</v>
      </c>
      <c r="C12">
        <f>NASA!BK13</f>
        <v>0</v>
      </c>
      <c r="D12" s="29">
        <f>NASA!BL13</f>
        <v>0.70328789999999997</v>
      </c>
      <c r="E12" s="1">
        <f>NASA!BM13</f>
        <v>1.4065304878188356</v>
      </c>
      <c r="F12" s="1">
        <f>NASA!BN13</f>
        <v>25710720.936433997</v>
      </c>
      <c r="G12" s="1">
        <f>NASA!BO13</f>
        <v>614.14033666796684</v>
      </c>
      <c r="H12" s="141">
        <f>NASA!BP13</f>
        <v>8.3819999999999999E-4</v>
      </c>
      <c r="I12" s="141">
        <f>NASA!BQ13</f>
        <v>2.8701999999999998E-3</v>
      </c>
      <c r="J12" s="141">
        <f>NASA!BR13</f>
        <v>-1.016E-3</v>
      </c>
      <c r="K12" s="141">
        <f>NASA!BS13</f>
        <v>1.397E-3</v>
      </c>
      <c r="L12" s="141">
        <f>NASA!BT13</f>
        <v>-1.2953999999999999E-3</v>
      </c>
      <c r="M12" s="141">
        <f>NASA!BU13</f>
        <v>1.9811999999999998E-3</v>
      </c>
      <c r="N12">
        <f>NASA!BV13</f>
        <v>927.21702707973554</v>
      </c>
      <c r="O12" s="1">
        <f>NASA!BW13</f>
        <v>11163.579017001828</v>
      </c>
      <c r="P12" s="1">
        <f>NASA!BX13</f>
        <v>-148.65639924953589</v>
      </c>
      <c r="Q12" s="1">
        <f>NASA!BY13</f>
        <v>2.8913440499449995E-5</v>
      </c>
      <c r="R12" s="1">
        <f>NASA!BZ13</f>
        <v>1.5257400140478998E-3</v>
      </c>
      <c r="S12" s="1">
        <f>NASA!CA13</f>
        <v>-2.4865558829526999E-5</v>
      </c>
      <c r="T12" s="4">
        <f>NASA!CB13</f>
        <v>7</v>
      </c>
      <c r="U12" s="159">
        <f t="shared" si="5"/>
        <v>9888738.8217053823</v>
      </c>
      <c r="V12" s="247">
        <v>1291288.1937490499</v>
      </c>
      <c r="W12" s="248">
        <v>0.87</v>
      </c>
      <c r="X12" s="160">
        <v>0.77</v>
      </c>
      <c r="Y12" s="1"/>
      <c r="Z12" s="168">
        <f t="shared" si="6"/>
        <v>0</v>
      </c>
      <c r="AA12" s="156">
        <f t="shared" si="7"/>
        <v>-1.016E-3</v>
      </c>
      <c r="AB12" s="1">
        <f t="shared" si="8"/>
        <v>1.397E-3</v>
      </c>
      <c r="AC12" s="1">
        <f t="shared" si="0"/>
        <v>8.3819999999999999E-4</v>
      </c>
      <c r="AD12" s="1">
        <f t="shared" si="1"/>
        <v>2.8701999999999998E-3</v>
      </c>
      <c r="AE12" s="1">
        <f t="shared" si="2"/>
        <v>-1.2953999999999999E-3</v>
      </c>
      <c r="AF12" s="15">
        <f t="shared" si="3"/>
        <v>1.9811999999999998E-3</v>
      </c>
      <c r="AH12" s="42">
        <f t="shared" si="4"/>
        <v>3.9603174762143216</v>
      </c>
      <c r="AI12" s="42">
        <f t="shared" si="9"/>
        <v>6.9120579384212136E-2</v>
      </c>
      <c r="AJ12" s="7">
        <f t="shared" si="10"/>
        <v>-1.1100584958876757E-3</v>
      </c>
      <c r="AK12" s="7">
        <f t="shared" si="11"/>
        <v>1.3234935344411741E-3</v>
      </c>
      <c r="AL12" s="7">
        <f t="shared" si="12"/>
        <v>6.3796653044641413E-4</v>
      </c>
      <c r="AM12" s="7">
        <f t="shared" si="13"/>
        <v>2.9212370643325342E-3</v>
      </c>
      <c r="AN12" s="7">
        <f t="shared" si="14"/>
        <v>-1.4291394195935171E-3</v>
      </c>
      <c r="AO12" s="23">
        <f t="shared" si="15"/>
        <v>1.887001621452378E-3</v>
      </c>
      <c r="AP12" s="24"/>
      <c r="AQ12" s="10"/>
      <c r="AR12" s="69">
        <f t="shared" si="16"/>
        <v>614.14033666796684</v>
      </c>
      <c r="AS12" s="180" cm="1">
        <f t="array" ref="AS12">W12 * _xlfn.IFS( $AT$4="P", $U12,  $AT$4="A", $V12)</f>
        <v>1123420.7285616733</v>
      </c>
      <c r="AT12" s="180" cm="1">
        <f t="array" ref="AT12">X12 * _xlfn.IFS( $AT$4="P", $U12,  $AT$4="A", $V12)</f>
        <v>994291.90918676846</v>
      </c>
      <c r="AU12" s="183">
        <f t="shared" si="17"/>
        <v>3.1377168721357403E-5</v>
      </c>
      <c r="AV12" s="180">
        <f t="shared" si="18"/>
        <v>1.527473182920028E-3</v>
      </c>
      <c r="AW12" s="15">
        <f t="shared" si="19"/>
        <v>-2.6931970468962261E-5</v>
      </c>
      <c r="AX12" s="1">
        <f t="shared" si="20"/>
        <v>1018.7671224910983</v>
      </c>
      <c r="AY12" s="1">
        <f t="shared" si="21"/>
        <v>11216.091608518018</v>
      </c>
      <c r="AZ12" s="67">
        <f t="shared" si="22"/>
        <v>-217.99277327937034</v>
      </c>
      <c r="BA12" s="1">
        <f t="shared" si="23"/>
        <v>48516.172095760558</v>
      </c>
      <c r="BB12" s="15">
        <f t="shared" si="24"/>
        <v>-36744.204796426173</v>
      </c>
      <c r="BC12" s="1">
        <f t="shared" si="25"/>
        <v>3281.7782711138193</v>
      </c>
      <c r="BD12" s="67">
        <f t="shared" si="26"/>
        <v>634.32495955482375</v>
      </c>
      <c r="BF12" s="185">
        <f xml:space="preserve"> IF($BF$3=1, -A12, 0)</f>
        <v>-3.9603174762143216</v>
      </c>
      <c r="BG12" s="34">
        <f t="shared" si="49"/>
        <v>-6.9120579384212136E-2</v>
      </c>
      <c r="BH12" s="188">
        <v>7</v>
      </c>
      <c r="BI12" s="189">
        <f t="shared" si="50"/>
        <v>0.70328789999999997</v>
      </c>
      <c r="BJ12" s="192">
        <f>D12</f>
        <v>0.70328789999999997</v>
      </c>
      <c r="BK12" s="189">
        <f>C12</f>
        <v>0</v>
      </c>
      <c r="BL12" s="86">
        <v>0</v>
      </c>
      <c r="BM12" s="69">
        <f>E12</f>
        <v>1.4065304878188356</v>
      </c>
      <c r="BN12" s="180">
        <f>AJ12</f>
        <v>-1.1100584958876757E-3</v>
      </c>
      <c r="BO12" s="69">
        <f>AK12</f>
        <v>1.3234935344411741E-3</v>
      </c>
      <c r="BP12" s="1">
        <f>0.5*($AU12+$AV12)+0.5*($AU12-$AV12)*COS(2*$BG12) + $AW12*SIN(2*$BG12)</f>
        <v>4.2224882182338249E-5</v>
      </c>
      <c r="BQ12" s="1">
        <f>0.5*($AU12+$AV12)-0.5*($AU12-$AV12)*COS(2*$BG12)-$AW12*SIN(2*$BG12)</f>
        <v>1.5166254694590469E-3</v>
      </c>
      <c r="BR12" s="15">
        <f xml:space="preserve"> - 0.5*($AU12-$AV12)*SIN(2*$BG12) + $AW12*COS(2*$BG12)</f>
        <v>-1.2975699988113277E-4</v>
      </c>
      <c r="BS12" s="180">
        <f>F12</f>
        <v>25710720.936433997</v>
      </c>
      <c r="BT12" s="1">
        <f>$BA12*COS($BG12) + $BB12*SIN($BG12)</f>
        <v>50938.080319263026</v>
      </c>
      <c r="BU12" s="15">
        <f xml:space="preserve"> - $BA12*SIN($BG12) + $BB12*COS($BG12)</f>
        <v>-33305.667901056593</v>
      </c>
      <c r="BV12" s="1">
        <f>0.5*($AX12+$AY12)+0.5*($AX12-$AY12)*COS(2*$BG12) + $AZ12*SIN(2*$BG12)</f>
        <v>1097.4485574280779</v>
      </c>
      <c r="BW12" s="1">
        <f>0.5*($AX12+$AY12)-0.5*($AX12-$AY12)*COS(2*$BG12)-$AZ12*SIN(2*$BG12)</f>
        <v>11137.410173581038</v>
      </c>
      <c r="BX12" s="15">
        <f xml:space="preserve"> - 0.5*($AX12-$AY12)*SIN(2*$BG12) + $AZ12*COS(2*$BG12)</f>
        <v>-918.51521711775729</v>
      </c>
      <c r="BY12" s="15">
        <f>AR12</f>
        <v>614.14033666796684</v>
      </c>
      <c r="BZ12" s="1">
        <f>0.5*($AS12+$AT12)+0.5*($AS12-$AT12)*COS(2*$BG12)</f>
        <v>1122804.7775491604</v>
      </c>
      <c r="CA12" s="15">
        <f>0.5*($AS12+$AT12)-0.5*($AS12-$AT12)*COS(2*$BG12)</f>
        <v>994907.86019928113</v>
      </c>
      <c r="CB12" s="1">
        <f>$BC12*COS($BG12) + $BD12*SIN($BG12)</f>
        <v>3230.131786081849</v>
      </c>
      <c r="CC12" s="15">
        <f xml:space="preserve"> - $BC12*SIN($BG12) + $BD12*COS($BG12)</f>
        <v>859.46810273140488</v>
      </c>
      <c r="CD12" s="35">
        <f t="shared" si="27"/>
        <v>0.70328789999999997</v>
      </c>
      <c r="CF12" s="79">
        <f>$BS12*AF12</f>
        <v>50938.080319263026</v>
      </c>
      <c r="CG12" s="212">
        <f>$BS12*AE12</f>
        <v>-33305.6679010566</v>
      </c>
      <c r="CH12" s="212">
        <f>BZ12*AD12</f>
        <v>3222.6742725216</v>
      </c>
      <c r="CI12" s="80">
        <f>CA12*AC12</f>
        <v>833.93176841903744</v>
      </c>
      <c r="CJ12" s="114"/>
      <c r="CK12" s="20">
        <f t="shared" si="51"/>
        <v>5</v>
      </c>
      <c r="CL12" s="18">
        <f t="shared" si="52"/>
        <v>6</v>
      </c>
      <c r="CN12" s="53">
        <v>7</v>
      </c>
      <c r="CO12" s="208">
        <v>0.58499999999999996</v>
      </c>
      <c r="CP12" s="244">
        <f t="shared" si="29"/>
        <v>0</v>
      </c>
      <c r="CQ12" s="244">
        <f t="shared" si="30"/>
        <v>0</v>
      </c>
      <c r="CR12" s="211">
        <f t="shared" si="31"/>
        <v>1.0850754146040551</v>
      </c>
      <c r="CS12" s="211">
        <f t="shared" si="32"/>
        <v>1.6571721769626367E-2</v>
      </c>
      <c r="CT12" s="211">
        <f t="shared" si="33"/>
        <v>3.5126711700243524E-3</v>
      </c>
      <c r="CU12" s="211">
        <f t="shared" si="34"/>
        <v>4.1881123288962204E-5</v>
      </c>
      <c r="CV12" s="211">
        <f t="shared" si="35"/>
        <v>1.4667317430547436E-3</v>
      </c>
      <c r="CW12" s="211">
        <f t="shared" si="36"/>
        <v>-5.8591157140455896E-5</v>
      </c>
      <c r="CX12" s="211">
        <f t="shared" si="37"/>
        <v>27534491.798706997</v>
      </c>
      <c r="CY12" s="211">
        <f t="shared" si="38"/>
        <v>50003.586839392832</v>
      </c>
      <c r="CZ12" s="211">
        <f t="shared" si="39"/>
        <v>-17747.985531103499</v>
      </c>
      <c r="DA12" s="211">
        <f t="shared" si="40"/>
        <v>953.30322578800281</v>
      </c>
      <c r="DB12" s="211">
        <f t="shared" si="41"/>
        <v>11169.004590294024</v>
      </c>
      <c r="DC12" s="211">
        <f t="shared" si="42"/>
        <v>-1079.2602912215898</v>
      </c>
      <c r="DD12" s="211">
        <f t="shared" si="43"/>
        <v>483.21044793475335</v>
      </c>
      <c r="DE12" s="211">
        <f t="shared" si="44"/>
        <v>944305.58954613423</v>
      </c>
      <c r="DF12" s="211">
        <f t="shared" si="45"/>
        <v>837286.65259652107</v>
      </c>
      <c r="DG12" s="211">
        <f t="shared" si="46"/>
        <v>2593.5712235339188</v>
      </c>
      <c r="DH12" s="211">
        <f t="shared" si="47"/>
        <v>1853.8640103468956</v>
      </c>
      <c r="DI12" s="203">
        <f t="shared" si="48"/>
        <v>0.58499999999999996</v>
      </c>
    </row>
    <row r="13" spans="1:113">
      <c r="A13" s="47">
        <f>NASA!BI14</f>
        <v>3.1175533299949922</v>
      </c>
      <c r="B13">
        <f>NASA!BJ14</f>
        <v>0.13843</v>
      </c>
      <c r="C13">
        <f>NASA!BK14</f>
        <v>0</v>
      </c>
      <c r="D13" s="29">
        <f>NASA!BL14</f>
        <v>0.80463390000000001</v>
      </c>
      <c r="E13" s="1">
        <f>NASA!BM14</f>
        <v>1.3789514586459173</v>
      </c>
      <c r="F13" s="1">
        <f>NASA!BN14</f>
        <v>23086270.183406997</v>
      </c>
      <c r="G13" s="1">
        <f>NASA!BO14</f>
        <v>619.87996598262066</v>
      </c>
      <c r="H13" s="141">
        <f>NASA!BP14</f>
        <v>1.016E-3</v>
      </c>
      <c r="I13" s="141">
        <f>NASA!BQ14</f>
        <v>2.8447999999999998E-3</v>
      </c>
      <c r="J13" s="141">
        <f>NASA!BR14</f>
        <v>-1.2446E-3</v>
      </c>
      <c r="K13" s="141">
        <f>NASA!BS14</f>
        <v>1.397E-3</v>
      </c>
      <c r="L13" s="141">
        <f>NASA!BT14</f>
        <v>-7.8739999999999995E-4</v>
      </c>
      <c r="M13" s="141">
        <f>NASA!BU14</f>
        <v>1.9811999999999998E-3</v>
      </c>
      <c r="N13">
        <f>NASA!BV14</f>
        <v>849.59141041369901</v>
      </c>
      <c r="O13" s="1">
        <f>NASA!BW14</f>
        <v>10331.332766377011</v>
      </c>
      <c r="P13" s="1">
        <f>NASA!BX14</f>
        <v>-121.39316000492988</v>
      </c>
      <c r="Q13" s="1">
        <f>NASA!BY14</f>
        <v>2.8913440499449995E-5</v>
      </c>
      <c r="R13" s="1">
        <f>NASA!BZ14</f>
        <v>1.4857060195101997E-3</v>
      </c>
      <c r="S13" s="1">
        <f>NASA!CA14</f>
        <v>-2.6155543097963997E-5</v>
      </c>
      <c r="T13" s="4">
        <f>NASA!CB14</f>
        <v>8</v>
      </c>
      <c r="U13" s="159">
        <f t="shared" si="5"/>
        <v>8879334.6859257687</v>
      </c>
      <c r="V13" s="247">
        <v>1269444.99589071</v>
      </c>
      <c r="W13" s="248">
        <v>0.87</v>
      </c>
      <c r="X13" s="160">
        <v>0.77</v>
      </c>
      <c r="Y13" s="1"/>
      <c r="Z13" s="168">
        <f t="shared" si="6"/>
        <v>0</v>
      </c>
      <c r="AA13" s="156">
        <f t="shared" si="7"/>
        <v>-1.2446E-3</v>
      </c>
      <c r="AB13" s="1">
        <f t="shared" si="8"/>
        <v>1.397E-3</v>
      </c>
      <c r="AC13" s="1">
        <f t="shared" si="0"/>
        <v>1.016E-3</v>
      </c>
      <c r="AD13" s="1">
        <f t="shared" si="1"/>
        <v>2.8447999999999998E-3</v>
      </c>
      <c r="AE13" s="1">
        <f t="shared" si="2"/>
        <v>-7.8739999999999995E-4</v>
      </c>
      <c r="AF13" s="15">
        <f t="shared" si="3"/>
        <v>1.9811999999999998E-3</v>
      </c>
      <c r="AH13" s="42">
        <f t="shared" si="4"/>
        <v>3.1175533299949922</v>
      </c>
      <c r="AI13" s="42">
        <f t="shared" si="9"/>
        <v>5.441157021492591E-2</v>
      </c>
      <c r="AJ13" s="7">
        <f t="shared" si="10"/>
        <v>-1.3187335228918783E-3</v>
      </c>
      <c r="AK13" s="7">
        <f t="shared" si="11"/>
        <v>1.3272452884079775E-3</v>
      </c>
      <c r="AL13" s="7">
        <f t="shared" si="12"/>
        <v>8.5978270938714377E-4</v>
      </c>
      <c r="AM13" s="7">
        <f t="shared" si="13"/>
        <v>2.8958447355890648E-3</v>
      </c>
      <c r="AN13" s="7">
        <f t="shared" si="14"/>
        <v>-8.9398171008463559E-4</v>
      </c>
      <c r="AO13" s="23">
        <f t="shared" si="15"/>
        <v>1.9354454014603847E-3</v>
      </c>
      <c r="AP13" s="24"/>
      <c r="AQ13" s="10"/>
      <c r="AR13" s="69">
        <f t="shared" si="16"/>
        <v>619.87996598262066</v>
      </c>
      <c r="AS13" s="180" cm="1">
        <f t="array" ref="AS13">W13 * _xlfn.IFS( $AT$4="P", $U13,  $AT$4="A", $V13)</f>
        <v>1104417.1464249177</v>
      </c>
      <c r="AT13" s="180" cm="1">
        <f t="array" ref="AT13">X13 * _xlfn.IFS( $AT$4="P", $U13,  $AT$4="A", $V13)</f>
        <v>977472.64683584671</v>
      </c>
      <c r="AU13" s="183">
        <f t="shared" si="17"/>
        <v>3.1342573886642789E-5</v>
      </c>
      <c r="AV13" s="180">
        <f t="shared" si="18"/>
        <v>1.4881040962199305E-3</v>
      </c>
      <c r="AW13" s="15">
        <f t="shared" si="19"/>
        <v>-2.8569098193804247E-5</v>
      </c>
      <c r="AX13" s="1">
        <f t="shared" si="20"/>
        <v>936.07139885929621</v>
      </c>
      <c r="AY13" s="1">
        <f t="shared" si="21"/>
        <v>10349.783389645319</v>
      </c>
      <c r="AZ13" s="67">
        <f t="shared" si="22"/>
        <v>-161.33824339522306</v>
      </c>
      <c r="BA13" s="1">
        <f t="shared" si="23"/>
        <v>44682.215463347064</v>
      </c>
      <c r="BB13" s="15">
        <f t="shared" si="24"/>
        <v>-20638.703298038123</v>
      </c>
      <c r="BC13" s="1">
        <f t="shared" si="25"/>
        <v>3198.2205793688954</v>
      </c>
      <c r="BD13" s="67">
        <f t="shared" si="26"/>
        <v>840.41408064834695</v>
      </c>
      <c r="BF13" s="185">
        <f xml:space="preserve"> IF($BF$3=1, -A13, 0)</f>
        <v>-3.1175533299949922</v>
      </c>
      <c r="BG13" s="34">
        <f t="shared" si="49"/>
        <v>-5.441157021492591E-2</v>
      </c>
      <c r="BH13" s="188">
        <v>8</v>
      </c>
      <c r="BI13" s="189">
        <f t="shared" si="50"/>
        <v>0.80463390000000001</v>
      </c>
      <c r="BJ13" s="192">
        <f>D13</f>
        <v>0.80463390000000001</v>
      </c>
      <c r="BK13" s="189">
        <f>C13</f>
        <v>0</v>
      </c>
      <c r="BL13" s="86">
        <v>0</v>
      </c>
      <c r="BM13" s="69">
        <f>E13</f>
        <v>1.3789514586459173</v>
      </c>
      <c r="BN13" s="180">
        <f>AJ13</f>
        <v>-1.3187335228918783E-3</v>
      </c>
      <c r="BO13" s="69">
        <f>AK13</f>
        <v>1.3272452884079775E-3</v>
      </c>
      <c r="BP13" s="1">
        <f>0.5*($AU13+$AV13)+0.5*($AU13-$AV13)*COS(2*$BG13) + $AW13*SIN(2*$BG13)</f>
        <v>3.8754081351230706E-5</v>
      </c>
      <c r="BQ13" s="1">
        <f>0.5*($AU13+$AV13)-0.5*($AU13-$AV13)*COS(2*$BG13)-$AW13*SIN(2*$BG13)</f>
        <v>1.4806925887553427E-3</v>
      </c>
      <c r="BR13" s="15">
        <f xml:space="preserve"> - 0.5*($AU13-$AV13)*SIN(2*$BG13) + $AW13*COS(2*$BG13)</f>
        <v>-1.0750842676556637E-4</v>
      </c>
      <c r="BS13" s="180">
        <f>F13</f>
        <v>23086270.183406997</v>
      </c>
      <c r="BT13" s="1">
        <f>$BA13*COS($BG13) + $BB13*SIN($BG13)</f>
        <v>45738.518487365938</v>
      </c>
      <c r="BU13" s="15">
        <f xml:space="preserve"> - $BA13*SIN($BG13) + $BB13*COS($BG13)</f>
        <v>-18178.129142414669</v>
      </c>
      <c r="BV13" s="1">
        <f>0.5*($AX13+$AY13)+0.5*($AX13-$AY13)*COS(2*$BG13) + $AZ13*SIN(2*$BG13)</f>
        <v>981.43702059706288</v>
      </c>
      <c r="BW13" s="1">
        <f>0.5*($AX13+$AY13)-0.5*($AX13-$AY13)*COS(2*$BG13)-$AZ13*SIN(2*$BG13)</f>
        <v>10304.417767907553</v>
      </c>
      <c r="BX13" s="15">
        <f xml:space="preserve"> - 0.5*($AX13-$AY13)*SIN(2*$BG13) + $AZ13*COS(2*$BG13)</f>
        <v>-671.58833109910381</v>
      </c>
      <c r="BY13" s="15">
        <f>AR13</f>
        <v>619.87996598262066</v>
      </c>
      <c r="BZ13" s="1">
        <f>0.5*($AS13+$AT13)+0.5*($AS13-$AT13)*COS(2*$BG13)</f>
        <v>1104041.6828852161</v>
      </c>
      <c r="CA13" s="15">
        <f>0.5*($AS13+$AT13)-0.5*($AS13-$AT13)*COS(2*$BG13)</f>
        <v>977848.11037554813</v>
      </c>
      <c r="CB13" s="1">
        <f>$BC13*COS($BG13) + $BD13*SIN($BG13)</f>
        <v>3147.7817019303116</v>
      </c>
      <c r="CC13" s="15">
        <f xml:space="preserve"> - $BC13*SIN($BG13) + $BD13*COS($BG13)</f>
        <v>1013.1046630252132</v>
      </c>
      <c r="CD13" s="35">
        <f t="shared" si="27"/>
        <v>0.80463390000000001</v>
      </c>
      <c r="CF13" s="79">
        <f>$BS13*AF13</f>
        <v>45738.518487365938</v>
      </c>
      <c r="CG13" s="212">
        <f>$BS13*AE13</f>
        <v>-18178.129142414669</v>
      </c>
      <c r="CH13" s="212">
        <f>BZ13*AD13</f>
        <v>3140.7777794718622</v>
      </c>
      <c r="CI13" s="80">
        <f>CA13*AC13</f>
        <v>993.49368014155687</v>
      </c>
      <c r="CJ13" s="114"/>
      <c r="CK13" s="20">
        <f t="shared" si="51"/>
        <v>6</v>
      </c>
      <c r="CL13" s="18">
        <f t="shared" si="52"/>
        <v>7</v>
      </c>
      <c r="CN13" s="53">
        <v>8</v>
      </c>
      <c r="CO13" s="208">
        <v>0.67030000000000001</v>
      </c>
      <c r="CP13" s="244">
        <f t="shared" si="29"/>
        <v>0</v>
      </c>
      <c r="CQ13" s="244">
        <f t="shared" si="30"/>
        <v>0</v>
      </c>
      <c r="CR13" s="211">
        <f t="shared" si="31"/>
        <v>1.3076441771233613</v>
      </c>
      <c r="CS13" s="211">
        <f t="shared" si="32"/>
        <v>4.2622114543198423E-3</v>
      </c>
      <c r="CT13" s="211">
        <f t="shared" si="33"/>
        <v>2.1020960396003724E-3</v>
      </c>
      <c r="CU13" s="211">
        <f t="shared" si="34"/>
        <v>4.2835491274295488E-5</v>
      </c>
      <c r="CV13" s="211">
        <f t="shared" si="35"/>
        <v>1.5008838774728842E-3</v>
      </c>
      <c r="CW13" s="211">
        <f t="shared" si="36"/>
        <v>-1.0745146991591675E-4</v>
      </c>
      <c r="CX13" s="211">
        <f t="shared" si="37"/>
        <v>26267252.251442503</v>
      </c>
      <c r="CY13" s="211">
        <f t="shared" si="38"/>
        <v>45424.736334852154</v>
      </c>
      <c r="CZ13" s="211">
        <f t="shared" si="39"/>
        <v>-28477.742454636395</v>
      </c>
      <c r="DA13" s="211">
        <f t="shared" si="40"/>
        <v>1033.8951933847698</v>
      </c>
      <c r="DB13" s="211">
        <f t="shared" si="41"/>
        <v>11141.741157778619</v>
      </c>
      <c r="DC13" s="211">
        <f t="shared" si="42"/>
        <v>-975.4288508640318</v>
      </c>
      <c r="DD13" s="211">
        <f t="shared" si="43"/>
        <v>573.85648255386729</v>
      </c>
      <c r="DE13" s="211">
        <f t="shared" si="44"/>
        <v>1067506.5375236974</v>
      </c>
      <c r="DF13" s="211">
        <f t="shared" si="45"/>
        <v>946058.51916683861</v>
      </c>
      <c r="DG13" s="211">
        <f t="shared" si="46"/>
        <v>2914.8856744035338</v>
      </c>
      <c r="DH13" s="211">
        <f t="shared" si="47"/>
        <v>1179.5363361661368</v>
      </c>
      <c r="DI13" s="203">
        <f t="shared" si="48"/>
        <v>0.67030000000000001</v>
      </c>
    </row>
    <row r="14" spans="1:113">
      <c r="A14" s="47">
        <f>NASA!BI15</f>
        <v>2.1905127691537309</v>
      </c>
      <c r="B14">
        <f>NASA!BJ15</f>
        <v>0.13843</v>
      </c>
      <c r="C14">
        <f>NASA!BK15</f>
        <v>0</v>
      </c>
      <c r="D14" s="29">
        <f>NASA!BL15</f>
        <v>0.91611449999999994</v>
      </c>
      <c r="E14" s="1">
        <f>NASA!BM15</f>
        <v>1.4892675753375906</v>
      </c>
      <c r="F14" s="1">
        <f>NASA!BN15</f>
        <v>21040088.240369</v>
      </c>
      <c r="G14" s="1">
        <f>NASA!BO15</f>
        <v>330.028685592599</v>
      </c>
      <c r="H14" s="141">
        <f>NASA!BP15</f>
        <v>2.9971999999999998E-3</v>
      </c>
      <c r="I14" s="141">
        <f>NASA!BQ15</f>
        <v>2.8955999999999999E-3</v>
      </c>
      <c r="J14" s="141">
        <f>NASA!BR15</f>
        <v>-1.397E-3</v>
      </c>
      <c r="K14" s="141">
        <f>NASA!BS15</f>
        <v>1.7526E-3</v>
      </c>
      <c r="L14" s="141">
        <f>NASA!BT15</f>
        <v>2.1843999999999995E-3</v>
      </c>
      <c r="M14" s="141">
        <f>NASA!BU15</f>
        <v>2.1336000000000003E-3</v>
      </c>
      <c r="N14">
        <f>NASA!BV15</f>
        <v>425.5074192418665</v>
      </c>
      <c r="O14" s="1">
        <f>NASA!BW15</f>
        <v>8437.2550925412252</v>
      </c>
      <c r="P14" s="1">
        <f>NASA!BX15</f>
        <v>-20.117400747861904</v>
      </c>
      <c r="Q14" s="1">
        <f>NASA!BY15</f>
        <v>2.4420736667996999E-5</v>
      </c>
      <c r="R14" s="1">
        <f>NASA!BZ15</f>
        <v>1.6636348841221997E-3</v>
      </c>
      <c r="S14" s="1">
        <f>NASA!CA15</f>
        <v>-8.2292099883049989E-6</v>
      </c>
      <c r="T14" s="4">
        <f>NASA!CB15</f>
        <v>9</v>
      </c>
      <c r="U14" s="159">
        <f t="shared" si="5"/>
        <v>8092341.6309111537</v>
      </c>
      <c r="V14" s="247">
        <v>781181.48101397301</v>
      </c>
      <c r="W14" s="248">
        <v>0.87</v>
      </c>
      <c r="X14" s="160">
        <v>0.77</v>
      </c>
      <c r="Y14" s="1"/>
      <c r="Z14" s="168">
        <f t="shared" si="6"/>
        <v>0</v>
      </c>
      <c r="AA14" s="156">
        <f t="shared" si="7"/>
        <v>-1.397E-3</v>
      </c>
      <c r="AB14" s="1">
        <f t="shared" si="8"/>
        <v>1.7526E-3</v>
      </c>
      <c r="AC14" s="1">
        <f t="shared" si="0"/>
        <v>2.9971999999999998E-3</v>
      </c>
      <c r="AD14" s="1">
        <f t="shared" si="1"/>
        <v>2.8955999999999999E-3</v>
      </c>
      <c r="AE14" s="1">
        <f t="shared" si="2"/>
        <v>2.1843999999999995E-3</v>
      </c>
      <c r="AF14" s="15">
        <f t="shared" si="3"/>
        <v>2.1336000000000003E-3</v>
      </c>
      <c r="AH14" s="42">
        <f t="shared" si="4"/>
        <v>2.1905127691537309</v>
      </c>
      <c r="AI14" s="42">
        <f t="shared" si="9"/>
        <v>3.8231660128711084E-2</v>
      </c>
      <c r="AJ14" s="7">
        <f t="shared" si="10"/>
        <v>-1.4629676406526589E-3</v>
      </c>
      <c r="AK14" s="7">
        <f t="shared" si="11"/>
        <v>1.6979226844598058E-3</v>
      </c>
      <c r="AL14" s="7">
        <f t="shared" si="12"/>
        <v>2.884333194823614E-3</v>
      </c>
      <c r="AM14" s="7">
        <f t="shared" si="13"/>
        <v>3.0080440856540985E-3</v>
      </c>
      <c r="AN14" s="7">
        <f t="shared" si="14"/>
        <v>2.1012525695932511E-3</v>
      </c>
      <c r="AO14" s="23">
        <f t="shared" si="15"/>
        <v>2.2155337864220802E-3</v>
      </c>
      <c r="AP14" s="24"/>
      <c r="AQ14" s="10"/>
      <c r="AR14" s="69">
        <f t="shared" si="16"/>
        <v>330.028685592599</v>
      </c>
      <c r="AS14" s="180" cm="1">
        <f t="array" ref="AS14">W14 * _xlfn.IFS( $AT$4="P", $U14,  $AT$4="A", $V14)</f>
        <v>679627.88848215656</v>
      </c>
      <c r="AT14" s="180" cm="1">
        <f t="array" ref="AT14">X14 * _xlfn.IFS( $AT$4="P", $U14,  $AT$4="A", $V14)</f>
        <v>601509.74038075923</v>
      </c>
      <c r="AU14" s="183">
        <f t="shared" si="17"/>
        <v>2.8714207879765061E-5</v>
      </c>
      <c r="AV14" s="180">
        <f t="shared" si="18"/>
        <v>1.6668223252657244E-3</v>
      </c>
      <c r="AW14" s="15">
        <f t="shared" si="19"/>
        <v>-1.1928559497195503E-5</v>
      </c>
      <c r="AX14" s="1">
        <f t="shared" si="20"/>
        <v>528.78458511033978</v>
      </c>
      <c r="AY14" s="1">
        <f t="shared" si="21"/>
        <v>8530.1526022257203</v>
      </c>
      <c r="AZ14" s="67">
        <f t="shared" si="22"/>
        <v>77.832543185015297</v>
      </c>
      <c r="BA14" s="1">
        <f t="shared" si="23"/>
        <v>46615.026365839411</v>
      </c>
      <c r="BB14" s="15">
        <f t="shared" si="24"/>
        <v>44210.539479544103</v>
      </c>
      <c r="BC14" s="1">
        <f t="shared" si="25"/>
        <v>2044.3506503943343</v>
      </c>
      <c r="BD14" s="67">
        <f t="shared" si="26"/>
        <v>1734.9545111899579</v>
      </c>
      <c r="BF14" s="185">
        <f xml:space="preserve"> IF($BF$3=1, -A14, 0)</f>
        <v>-2.1905127691537309</v>
      </c>
      <c r="BG14" s="34">
        <f t="shared" si="49"/>
        <v>-3.8231660128711084E-2</v>
      </c>
      <c r="BH14" s="188">
        <v>9</v>
      </c>
      <c r="BI14" s="189">
        <f t="shared" si="50"/>
        <v>0.91611449999999994</v>
      </c>
      <c r="BJ14" s="192">
        <f>D14</f>
        <v>0.91611449999999994</v>
      </c>
      <c r="BK14" s="189">
        <f>C14</f>
        <v>0</v>
      </c>
      <c r="BL14" s="86">
        <v>0</v>
      </c>
      <c r="BM14" s="69">
        <f>E14</f>
        <v>1.4892675753375906</v>
      </c>
      <c r="BN14" s="180">
        <f>AJ14</f>
        <v>-1.4629676406526589E-3</v>
      </c>
      <c r="BO14" s="69">
        <f>AK14</f>
        <v>1.6979226844598058E-3</v>
      </c>
      <c r="BP14" s="1">
        <f>0.5*($AU14+$AV14)+0.5*($AU14-$AV14)*COS(2*$BG14) + $AW14*SIN(2*$BG14)</f>
        <v>3.2018607112083416E-5</v>
      </c>
      <c r="BQ14" s="1">
        <f>0.5*($AU14+$AV14)-0.5*($AU14-$AV14)*COS(2*$BG14)-$AW14*SIN(2*$BG14)</f>
        <v>1.663517926033406E-3</v>
      </c>
      <c r="BR14" s="15">
        <f xml:space="preserve"> - 0.5*($AU14-$AV14)*SIN(2*$BG14) + $AW14*COS(2*$BG14)</f>
        <v>-7.4460289301990596E-5</v>
      </c>
      <c r="BS14" s="180">
        <f>F14</f>
        <v>21040088.240369</v>
      </c>
      <c r="BT14" s="1">
        <f>$BA14*COS($BG14) + $BB14*SIN($BG14)</f>
        <v>44891.132269651302</v>
      </c>
      <c r="BU14" s="15">
        <f xml:space="preserve"> - $BA14*SIN($BG14) + $BB14*COS($BG14)</f>
        <v>45959.96875226203</v>
      </c>
      <c r="BV14" s="1">
        <f>0.5*($AX14+$AY14)+0.5*($AX14-$AY14)*COS(2*$BG14) + $AZ14*SIN(2*$BG14)</f>
        <v>534.52862915998764</v>
      </c>
      <c r="BW14" s="1">
        <f>0.5*($AX14+$AY14)-0.5*($AX14-$AY14)*COS(2*$BG14)-$AZ14*SIN(2*$BG14)</f>
        <v>8524.4085581760719</v>
      </c>
      <c r="BX14" s="15">
        <f xml:space="preserve"> - 0.5*($AX14-$AY14)*SIN(2*$BG14) + $AZ14*COS(2*$BG14)</f>
        <v>-228.00245850507741</v>
      </c>
      <c r="BY14" s="15">
        <f>AR14</f>
        <v>330.028685592599</v>
      </c>
      <c r="BZ14" s="1">
        <f>0.5*($AS14+$AT14)+0.5*($AS14-$AT14)*COS(2*$BG14)</f>
        <v>679513.76194358338</v>
      </c>
      <c r="CA14" s="15">
        <f>0.5*($AS14+$AT14)-0.5*($AS14-$AT14)*COS(2*$BG14)</f>
        <v>601623.86691933242</v>
      </c>
      <c r="CB14" s="1">
        <f>$BC14*COS($BG14) + $BD14*SIN($BG14)</f>
        <v>1976.5427260571666</v>
      </c>
      <c r="CC14" s="15">
        <f xml:space="preserve"> - $BC14*SIN($BG14) + $BD14*COS($BG14)</f>
        <v>1811.8265893116336</v>
      </c>
      <c r="CD14" s="35">
        <f t="shared" si="27"/>
        <v>0.91611449999999994</v>
      </c>
      <c r="CF14" s="79">
        <f>$BS14*AF14</f>
        <v>44891.132269651302</v>
      </c>
      <c r="CG14" s="212">
        <f>$BS14*AE14</f>
        <v>45959.96875226203</v>
      </c>
      <c r="CH14" s="212">
        <f>BZ14*AD14</f>
        <v>1967.6000490838401</v>
      </c>
      <c r="CI14" s="80">
        <f>CA14*AC14</f>
        <v>1803.1870539306231</v>
      </c>
      <c r="CJ14" s="114"/>
      <c r="CK14" s="20">
        <f t="shared" si="51"/>
        <v>7</v>
      </c>
      <c r="CL14" s="18">
        <f t="shared" si="52"/>
        <v>8</v>
      </c>
      <c r="CN14" s="53">
        <v>9</v>
      </c>
      <c r="CO14" s="208">
        <v>0.75419999999999998</v>
      </c>
      <c r="CP14" s="244">
        <f t="shared" si="29"/>
        <v>0</v>
      </c>
      <c r="CQ14" s="244">
        <f t="shared" si="30"/>
        <v>0</v>
      </c>
      <c r="CR14" s="211">
        <f t="shared" si="31"/>
        <v>1.3926759075576065</v>
      </c>
      <c r="CS14" s="211">
        <f t="shared" si="32"/>
        <v>-1.2148883248137374E-3</v>
      </c>
      <c r="CT14" s="211">
        <f t="shared" si="33"/>
        <v>1.3253782627297428E-3</v>
      </c>
      <c r="CU14" s="211">
        <f t="shared" si="34"/>
        <v>4.0481293298776685E-5</v>
      </c>
      <c r="CV14" s="211">
        <f t="shared" si="35"/>
        <v>1.4985742546535779E-3</v>
      </c>
      <c r="CW14" s="211">
        <f t="shared" si="36"/>
        <v>-1.1858022349807841E-4</v>
      </c>
      <c r="CX14" s="211">
        <f t="shared" si="37"/>
        <v>24392303.838737138</v>
      </c>
      <c r="CY14" s="211">
        <f t="shared" si="38"/>
        <v>48326.032365306011</v>
      </c>
      <c r="CZ14" s="211">
        <f t="shared" si="39"/>
        <v>-25706.208958090385</v>
      </c>
      <c r="DA14" s="211">
        <f t="shared" si="40"/>
        <v>1039.1690894244634</v>
      </c>
      <c r="DB14" s="211">
        <f t="shared" si="41"/>
        <v>10718.948737935931</v>
      </c>
      <c r="DC14" s="211">
        <f t="shared" si="42"/>
        <v>-794.46921319387002</v>
      </c>
      <c r="DD14" s="211">
        <f t="shared" si="43"/>
        <v>617.02369251457731</v>
      </c>
      <c r="DE14" s="211">
        <f t="shared" si="44"/>
        <v>1113378.9634880214</v>
      </c>
      <c r="DF14" s="211">
        <f t="shared" si="45"/>
        <v>986337.73716530961</v>
      </c>
      <c r="DG14" s="211">
        <f t="shared" si="46"/>
        <v>3188.7624600173622</v>
      </c>
      <c r="DH14" s="211">
        <f t="shared" si="47"/>
        <v>936.64884909864577</v>
      </c>
      <c r="DI14" s="203">
        <f t="shared" si="48"/>
        <v>0.75419999999999998</v>
      </c>
    </row>
    <row r="15" spans="1:113">
      <c r="A15" s="47">
        <f>NASA!BI16</f>
        <v>2.1202824236354534</v>
      </c>
      <c r="B15">
        <f>NASA!BJ16</f>
        <v>0.13843</v>
      </c>
      <c r="C15">
        <f>NASA!BK16</f>
        <v>0</v>
      </c>
      <c r="D15" s="29">
        <f>NASA!BL16</f>
        <v>0.92456000000000005</v>
      </c>
      <c r="E15" s="1">
        <f>NASA!BM16</f>
        <v>1.5099518472172795</v>
      </c>
      <c r="F15" s="1">
        <f>NASA!BN16</f>
        <v>21084570.456521999</v>
      </c>
      <c r="G15" s="1">
        <f>NASA!BO16</f>
        <v>332.89850024992592</v>
      </c>
      <c r="H15" s="141">
        <f>NASA!BP16</f>
        <v>2.9971999999999998E-3</v>
      </c>
      <c r="I15" s="141">
        <f>NASA!BQ16</f>
        <v>3.0225999999999999E-3</v>
      </c>
      <c r="J15" s="141">
        <f>NASA!BR16</f>
        <v>1.27E-4</v>
      </c>
      <c r="K15" s="141">
        <f>NASA!BS16</f>
        <v>1.5747999999999999E-3</v>
      </c>
      <c r="L15" s="141">
        <f>NASA!BT16</f>
        <v>2.2097999999999996E-3</v>
      </c>
      <c r="M15" s="141">
        <f>NASA!BU16</f>
        <v>2.1589999999999999E-3</v>
      </c>
      <c r="N15">
        <f>NASA!BV16</f>
        <v>427.38714784241569</v>
      </c>
      <c r="O15" s="1">
        <f>NASA!BW16</f>
        <v>8437.2550925412252</v>
      </c>
      <c r="P15" s="1">
        <f>NASA!BX16</f>
        <v>-26.057917088528686</v>
      </c>
      <c r="Q15" s="1">
        <f>NASA!BY16</f>
        <v>3.0381353632498995E-5</v>
      </c>
      <c r="R15" s="1">
        <f>NASA!BZ16</f>
        <v>1.6547384408915997E-3</v>
      </c>
      <c r="S15" s="1">
        <f>NASA!CA16</f>
        <v>-4.8485615606770002E-5</v>
      </c>
      <c r="T15" s="4">
        <f>NASA!CB16</f>
        <v>10</v>
      </c>
      <c r="U15" s="159">
        <f t="shared" si="5"/>
        <v>8109450.1755853835</v>
      </c>
      <c r="V15" s="247">
        <v>789235.77403744101</v>
      </c>
      <c r="W15" s="248">
        <v>0.87</v>
      </c>
      <c r="X15" s="160">
        <v>0.77</v>
      </c>
      <c r="Y15" s="1"/>
      <c r="Z15" s="168">
        <f t="shared" si="6"/>
        <v>0</v>
      </c>
      <c r="AA15" s="156">
        <f t="shared" si="7"/>
        <v>1.27E-4</v>
      </c>
      <c r="AB15" s="1">
        <f t="shared" si="8"/>
        <v>1.5747999999999999E-3</v>
      </c>
      <c r="AC15" s="1">
        <f t="shared" si="0"/>
        <v>2.9971999999999998E-3</v>
      </c>
      <c r="AD15" s="1">
        <f t="shared" si="1"/>
        <v>3.0225999999999999E-3</v>
      </c>
      <c r="AE15" s="1">
        <f t="shared" si="2"/>
        <v>2.2097999999999996E-3</v>
      </c>
      <c r="AF15" s="15">
        <f t="shared" si="3"/>
        <v>2.1589999999999999E-3</v>
      </c>
      <c r="AH15" s="42">
        <f t="shared" si="4"/>
        <v>2.1202824236354534</v>
      </c>
      <c r="AI15" s="42">
        <f t="shared" si="9"/>
        <v>3.7005909364603899E-2</v>
      </c>
      <c r="AJ15" s="7">
        <f t="shared" si="10"/>
        <v>6.8649444769985706E-5</v>
      </c>
      <c r="AK15" s="7">
        <f t="shared" si="11"/>
        <v>1.5784205059909645E-3</v>
      </c>
      <c r="AL15" s="7">
        <f t="shared" si="12"/>
        <v>2.8833194615385162E-3</v>
      </c>
      <c r="AM15" s="7">
        <f t="shared" si="13"/>
        <v>3.1314194038348235E-3</v>
      </c>
      <c r="AN15" s="7">
        <f t="shared" si="14"/>
        <v>2.1284095571677099E-3</v>
      </c>
      <c r="AO15" s="23">
        <f t="shared" si="15"/>
        <v>2.2392788564529319E-3</v>
      </c>
      <c r="AP15" s="24"/>
      <c r="AQ15" s="10"/>
      <c r="AR15" s="69">
        <f t="shared" si="16"/>
        <v>332.89850024992592</v>
      </c>
      <c r="AS15" s="180" cm="1">
        <f t="array" ref="AS15">W15 * _xlfn.IFS( $AT$4="P", $U15,  $AT$4="A", $V15)</f>
        <v>686635.12341257371</v>
      </c>
      <c r="AT15" s="180" cm="1">
        <f t="array" ref="AT15">X15 * _xlfn.IFS( $AT$4="P", $U15,  $AT$4="A", $V15)</f>
        <v>607711.54600882961</v>
      </c>
      <c r="AU15" s="183">
        <f t="shared" si="17"/>
        <v>3.414326471764879E-5</v>
      </c>
      <c r="AV15" s="180">
        <f t="shared" si="18"/>
        <v>1.6547455569115314E-3</v>
      </c>
      <c r="AW15" s="15">
        <f t="shared" si="19"/>
        <v>-4.8322000710556115E-5</v>
      </c>
      <c r="AX15" s="1">
        <f t="shared" si="20"/>
        <v>533.11298112141458</v>
      </c>
      <c r="AY15" s="1">
        <f t="shared" si="21"/>
        <v>8532.770879574171</v>
      </c>
      <c r="AZ15" s="67">
        <f t="shared" si="22"/>
        <v>74.433307281351944</v>
      </c>
      <c r="BA15" s="1">
        <f t="shared" si="23"/>
        <v>47214.232820681857</v>
      </c>
      <c r="BB15" s="15">
        <f t="shared" si="24"/>
        <v>44876.601268437371</v>
      </c>
      <c r="BC15" s="1">
        <f t="shared" si="25"/>
        <v>2150.142548808652</v>
      </c>
      <c r="BD15" s="67">
        <f t="shared" si="26"/>
        <v>1752.2265276089179</v>
      </c>
      <c r="BF15" s="185">
        <f xml:space="preserve"> IF($BF$3=1, -A15, 0)</f>
        <v>-2.1202824236354534</v>
      </c>
      <c r="BG15" s="34">
        <f t="shared" si="49"/>
        <v>-3.7005909364603899E-2</v>
      </c>
      <c r="BH15" s="188">
        <v>10</v>
      </c>
      <c r="BI15" s="189">
        <f t="shared" si="50"/>
        <v>0.92456000000000005</v>
      </c>
      <c r="BJ15" s="192">
        <f>D15</f>
        <v>0.92456000000000005</v>
      </c>
      <c r="BK15" s="189">
        <f>C15</f>
        <v>0</v>
      </c>
      <c r="BL15" s="86">
        <v>0</v>
      </c>
      <c r="BM15" s="69">
        <f>E15</f>
        <v>1.5099518472172795</v>
      </c>
      <c r="BN15" s="180">
        <f>AJ15</f>
        <v>6.8649444769985706E-5</v>
      </c>
      <c r="BO15" s="69">
        <f>AK15</f>
        <v>1.5784205059909645E-3</v>
      </c>
      <c r="BP15" s="1">
        <f>0.5*($AU15+$AV15)+0.5*($AU15-$AV15)*COS(2*$BG15) + $AW15*SIN(2*$BG15)</f>
        <v>3.9934700053448439E-5</v>
      </c>
      <c r="BQ15" s="1">
        <f>0.5*($AU15+$AV15)-0.5*($AU15-$AV15)*COS(2*$BG15)-$AW15*SIN(2*$BG15)</f>
        <v>1.6489541215757317E-3</v>
      </c>
      <c r="BR15" s="15">
        <f xml:space="preserve"> - 0.5*($AU15-$AV15)*SIN(2*$BG15) + $AW15*COS(2*$BG15)</f>
        <v>-1.0810683794150984E-4</v>
      </c>
      <c r="BS15" s="180">
        <f>F15</f>
        <v>21084570.456521999</v>
      </c>
      <c r="BT15" s="1">
        <f>$BA15*COS($BG15) + $BB15*SIN($BG15)</f>
        <v>45521.587615631004</v>
      </c>
      <c r="BU15" s="15">
        <f xml:space="preserve"> - $BA15*SIN($BG15) + $BB15*COS($BG15)</f>
        <v>46592.683794822304</v>
      </c>
      <c r="BV15" s="1">
        <f>0.5*($AX15+$AY15)+0.5*($AX15-$AY15)*COS(2*$BG15) + $AZ15*SIN(2*$BG15)</f>
        <v>538.55909504146598</v>
      </c>
      <c r="BW15" s="1">
        <f>0.5*($AX15+$AY15)-0.5*($AX15-$AY15)*COS(2*$BG15)-$AZ15*SIN(2*$BG15)</f>
        <v>8527.3247656541189</v>
      </c>
      <c r="BX15" s="15">
        <f xml:space="preserve"> - 0.5*($AX15-$AY15)*SIN(2*$BG15) + $AZ15*COS(2*$BG15)</f>
        <v>-221.53488509132467</v>
      </c>
      <c r="BY15" s="15">
        <f>AR15</f>
        <v>332.89850024992592</v>
      </c>
      <c r="BZ15" s="1">
        <f>0.5*($AS15+$AT15)+0.5*($AS15-$AT15)*COS(2*$BG15)</f>
        <v>686527.09184728761</v>
      </c>
      <c r="CA15" s="15">
        <f>0.5*($AS15+$AT15)-0.5*($AS15-$AT15)*COS(2*$BG15)</f>
        <v>607819.5775741156</v>
      </c>
      <c r="CB15" s="1">
        <f>$BC15*COS($BG15) + $BD15*SIN($BG15)</f>
        <v>2083.8425366765955</v>
      </c>
      <c r="CC15" s="15">
        <f xml:space="preserve"> - $BC15*SIN($BG15) + $BD15*COS($BG15)</f>
        <v>1830.5767032798772</v>
      </c>
      <c r="CD15" s="35">
        <f t="shared" si="27"/>
        <v>0.92456000000000005</v>
      </c>
      <c r="CF15" s="79">
        <f>$BS15*AF15</f>
        <v>45521.587615630997</v>
      </c>
      <c r="CG15" s="212">
        <f>$BS15*AE15</f>
        <v>46592.683794822304</v>
      </c>
      <c r="CH15" s="212">
        <f>BZ15*AD15</f>
        <v>2075.0967878176116</v>
      </c>
      <c r="CI15" s="80">
        <f>CA15*AC15</f>
        <v>1821.756837905139</v>
      </c>
      <c r="CJ15" s="114"/>
      <c r="CK15" s="20">
        <f t="shared" si="51"/>
        <v>8</v>
      </c>
      <c r="CL15" s="18">
        <f t="shared" si="52"/>
        <v>9</v>
      </c>
      <c r="CN15" s="53">
        <v>10</v>
      </c>
      <c r="CO15" s="208">
        <v>0.83819999999999995</v>
      </c>
      <c r="CP15" s="244">
        <f t="shared" si="29"/>
        <v>0</v>
      </c>
      <c r="CQ15" s="244">
        <f t="shared" si="30"/>
        <v>0</v>
      </c>
      <c r="CR15" s="211">
        <f t="shared" si="31"/>
        <v>1.4121669401241688</v>
      </c>
      <c r="CS15" s="211">
        <f t="shared" si="32"/>
        <v>-1.3621614988820517E-3</v>
      </c>
      <c r="CT15" s="211">
        <f t="shared" si="33"/>
        <v>1.4388538960367063E-3</v>
      </c>
      <c r="CU15" s="211">
        <f t="shared" si="34"/>
        <v>3.6726072873893471E-5</v>
      </c>
      <c r="CV15" s="211">
        <f t="shared" si="35"/>
        <v>1.5357401356254634E-3</v>
      </c>
      <c r="CW15" s="211">
        <f t="shared" si="36"/>
        <v>-9.7557842655720091E-5</v>
      </c>
      <c r="CX15" s="211">
        <f t="shared" si="37"/>
        <v>22470177.80752987</v>
      </c>
      <c r="CY15" s="211">
        <f t="shared" si="38"/>
        <v>45483.375883877699</v>
      </c>
      <c r="CZ15" s="211">
        <f t="shared" si="39"/>
        <v>1133.4444205416148</v>
      </c>
      <c r="DA15" s="211">
        <f t="shared" si="40"/>
        <v>846.87574484311119</v>
      </c>
      <c r="DB15" s="211">
        <f t="shared" si="41"/>
        <v>9768.4683100218954</v>
      </c>
      <c r="DC15" s="211">
        <f t="shared" si="42"/>
        <v>-538.02744464820273</v>
      </c>
      <c r="DD15" s="211">
        <f t="shared" si="43"/>
        <v>532.60758798412144</v>
      </c>
      <c r="DE15" s="211">
        <f t="shared" si="44"/>
        <v>976219.02452924277</v>
      </c>
      <c r="DF15" s="211">
        <f t="shared" si="45"/>
        <v>864569.38225356396</v>
      </c>
      <c r="DG15" s="211">
        <f t="shared" si="46"/>
        <v>2795.1290916281109</v>
      </c>
      <c r="DH15" s="211">
        <f t="shared" si="47"/>
        <v>1253.5947577136394</v>
      </c>
      <c r="DI15" s="203">
        <f t="shared" si="48"/>
        <v>0.83819999999999995</v>
      </c>
    </row>
    <row r="16" spans="1:113">
      <c r="A16" s="47">
        <f>NASA!BI17</f>
        <v>2.0079138708062096</v>
      </c>
      <c r="B16">
        <f>NASA!BJ17</f>
        <v>0.13843</v>
      </c>
      <c r="C16">
        <f>NASA!BK17</f>
        <v>0</v>
      </c>
      <c r="D16" s="29">
        <f>NASA!BL17</f>
        <v>0.93807280000000004</v>
      </c>
      <c r="E16" s="1">
        <f>NASA!BM17</f>
        <v>1.6892155368412485</v>
      </c>
      <c r="F16" s="1">
        <f>NASA!BN17</f>
        <v>21040088.240369</v>
      </c>
      <c r="G16" s="1">
        <f>NASA!BO17</f>
        <v>330.028685592599</v>
      </c>
      <c r="H16" s="141">
        <f>NASA!BP17</f>
        <v>3.0479999999999999E-3</v>
      </c>
      <c r="I16" s="141">
        <f>NASA!BQ17</f>
        <v>2.8955999999999999E-3</v>
      </c>
      <c r="J16" s="141">
        <f>NASA!BR17</f>
        <v>-5.9182000000000002E-3</v>
      </c>
      <c r="K16" s="141">
        <f>NASA!BS17</f>
        <v>1.3207999999999998E-3</v>
      </c>
      <c r="L16" s="141">
        <f>NASA!BT17</f>
        <v>2.1589999999999999E-3</v>
      </c>
      <c r="M16" s="141">
        <f>NASA!BU17</f>
        <v>2.1336000000000003E-3</v>
      </c>
      <c r="N16">
        <f>NASA!BV17</f>
        <v>425.11999426312735</v>
      </c>
      <c r="O16" s="1">
        <f>NASA!BW17</f>
        <v>8379.8587993946876</v>
      </c>
      <c r="P16" s="1">
        <f>NASA!BX17</f>
        <v>-22.786328379175966</v>
      </c>
      <c r="Q16" s="1">
        <f>NASA!BY17</f>
        <v>2.7178634069482998E-5</v>
      </c>
      <c r="R16" s="1">
        <f>NASA!BZ17</f>
        <v>1.7525993164281997E-3</v>
      </c>
      <c r="S16" s="1">
        <f>NASA!CA17</f>
        <v>-3.4117859789350995E-5</v>
      </c>
      <c r="T16" s="4">
        <f>NASA!CB17</f>
        <v>11</v>
      </c>
      <c r="U16" s="159">
        <f t="shared" si="5"/>
        <v>8092341.6309111537</v>
      </c>
      <c r="V16" s="247">
        <v>786050.66620198195</v>
      </c>
      <c r="W16" s="248">
        <v>0.87</v>
      </c>
      <c r="X16" s="160">
        <v>0.77</v>
      </c>
      <c r="Y16" s="1"/>
      <c r="Z16" s="168">
        <f t="shared" si="6"/>
        <v>0</v>
      </c>
      <c r="AA16" s="156">
        <f t="shared" si="7"/>
        <v>-5.9182000000000002E-3</v>
      </c>
      <c r="AB16" s="1">
        <f t="shared" si="8"/>
        <v>1.3207999999999998E-3</v>
      </c>
      <c r="AC16" s="1">
        <f t="shared" si="0"/>
        <v>3.0479999999999999E-3</v>
      </c>
      <c r="AD16" s="1">
        <f t="shared" si="1"/>
        <v>2.8955999999999999E-3</v>
      </c>
      <c r="AE16" s="1">
        <f t="shared" si="2"/>
        <v>2.1589999999999999E-3</v>
      </c>
      <c r="AF16" s="15">
        <f t="shared" si="3"/>
        <v>2.1336000000000003E-3</v>
      </c>
      <c r="AH16" s="42">
        <f t="shared" si="4"/>
        <v>2.0079138708062096</v>
      </c>
      <c r="AI16" s="42">
        <f t="shared" si="9"/>
        <v>3.5044708142032407E-2</v>
      </c>
      <c r="AJ16" s="7">
        <f t="shared" si="10"/>
        <v>-5.9608437844600754E-3</v>
      </c>
      <c r="AK16" s="7">
        <f t="shared" si="11"/>
        <v>1.1126298833231535E-3</v>
      </c>
      <c r="AL16" s="7">
        <f t="shared" si="12"/>
        <v>2.9446738317335541E-3</v>
      </c>
      <c r="AM16" s="7">
        <f t="shared" si="13"/>
        <v>3.0006165007717377E-3</v>
      </c>
      <c r="AN16" s="7">
        <f t="shared" si="14"/>
        <v>2.0829182822697397E-3</v>
      </c>
      <c r="AO16" s="23">
        <f t="shared" si="15"/>
        <v>2.2079360021038828E-3</v>
      </c>
      <c r="AP16" s="24"/>
      <c r="AQ16" s="10"/>
      <c r="AR16" s="69">
        <f t="shared" si="16"/>
        <v>330.028685592599</v>
      </c>
      <c r="AS16" s="180" cm="1">
        <f t="array" ref="AS16">W16 * _xlfn.IFS( $AT$4="P", $U16,  $AT$4="A", $V16)</f>
        <v>683864.07959572424</v>
      </c>
      <c r="AT16" s="180" cm="1">
        <f t="array" ref="AT16">X16 * _xlfn.IFS( $AT$4="P", $U16,  $AT$4="A", $V16)</f>
        <v>605259.01297552616</v>
      </c>
      <c r="AU16" s="183">
        <f t="shared" si="17"/>
        <v>2.9269790431811767E-5</v>
      </c>
      <c r="AV16" s="180">
        <f t="shared" si="18"/>
        <v>1.8126199462234652E-3</v>
      </c>
      <c r="AW16" s="15">
        <f t="shared" si="19"/>
        <v>-4.5321096904905997E-5</v>
      </c>
      <c r="AX16" s="1">
        <f t="shared" si="20"/>
        <v>527.69003286597547</v>
      </c>
      <c r="AY16" s="1">
        <f t="shared" si="21"/>
        <v>8471.1422441555223</v>
      </c>
      <c r="AZ16" s="67">
        <f t="shared" si="22"/>
        <v>73.975991006625421</v>
      </c>
      <c r="BA16" s="1">
        <f t="shared" si="23"/>
        <v>46455.16831335325</v>
      </c>
      <c r="BB16" s="15">
        <f t="shared" si="24"/>
        <v>43824.784456433146</v>
      </c>
      <c r="BC16" s="1">
        <f t="shared" si="25"/>
        <v>2052.0138415200072</v>
      </c>
      <c r="BD16" s="67">
        <f t="shared" si="26"/>
        <v>1782.2903769299116</v>
      </c>
      <c r="BF16" s="185">
        <f xml:space="preserve"> IF($BF$3=1, -A16, 0)</f>
        <v>-2.0079138708062096</v>
      </c>
      <c r="BG16" s="34">
        <f t="shared" si="49"/>
        <v>-3.5044708142032407E-2</v>
      </c>
      <c r="BH16" s="188">
        <v>11</v>
      </c>
      <c r="BI16" s="189">
        <f t="shared" si="50"/>
        <v>0.93807280000000004</v>
      </c>
      <c r="BJ16" s="192">
        <f>D16</f>
        <v>0.93807280000000004</v>
      </c>
      <c r="BK16" s="189">
        <f>C16</f>
        <v>0</v>
      </c>
      <c r="BL16" s="86">
        <v>0</v>
      </c>
      <c r="BM16" s="69">
        <f>E16</f>
        <v>1.6892155368412485</v>
      </c>
      <c r="BN16" s="180">
        <f>AJ16</f>
        <v>-5.9608437844600754E-3</v>
      </c>
      <c r="BO16" s="69">
        <f>AK16</f>
        <v>1.1126298833231535E-3</v>
      </c>
      <c r="BP16" s="1">
        <f>0.5*($AU16+$AV16)+0.5*($AU16-$AV16)*COS(2*$BG16) + $AW16*SIN(2*$BG16)</f>
        <v>3.4633011658789879E-5</v>
      </c>
      <c r="BQ16" s="1">
        <f>0.5*($AU16+$AV16)-0.5*($AU16-$AV16)*COS(2*$BG16)-$AW16*SIN(2*$BG16)</f>
        <v>1.807256724996487E-3</v>
      </c>
      <c r="BR16" s="15">
        <f xml:space="preserve"> - 0.5*($AU16-$AV16)*SIN(2*$BG16) + $AW16*COS(2*$BG16)</f>
        <v>-1.0765565054102364E-4</v>
      </c>
      <c r="BS16" s="180">
        <f>F16</f>
        <v>21040088.240369</v>
      </c>
      <c r="BT16" s="1">
        <f>$BA16*COS($BG16) + $BB16*SIN($BG16)</f>
        <v>44891.132269651302</v>
      </c>
      <c r="BU16" s="15">
        <f xml:space="preserve"> - $BA16*SIN($BG16) + $BB16*COS($BG16)</f>
        <v>45425.550510956666</v>
      </c>
      <c r="BV16" s="1">
        <f>0.5*($AX16+$AY16)+0.5*($AX16-$AY16)*COS(2*$BG16) + $AZ16*SIN(2*$BG16)</f>
        <v>532.26095433973865</v>
      </c>
      <c r="BW16" s="1">
        <f>0.5*($AX16+$AY16)-0.5*($AX16-$AY16)*COS(2*$BG16)-$AZ16*SIN(2*$BG16)</f>
        <v>8466.5713226817588</v>
      </c>
      <c r="BX16" s="15">
        <f xml:space="preserve"> - 0.5*($AX16-$AY16)*SIN(2*$BG16) + $AZ16*COS(2*$BG16)</f>
        <v>-204.35373794155527</v>
      </c>
      <c r="BY16" s="15">
        <f>AR16</f>
        <v>330.028685592599</v>
      </c>
      <c r="BZ16" s="1">
        <f>0.5*($AS16+$AT16)+0.5*($AS16-$AT16)*COS(2*$BG16)</f>
        <v>683767.58174566727</v>
      </c>
      <c r="CA16" s="15">
        <f>0.5*($AS16+$AT16)-0.5*($AS16-$AT16)*COS(2*$BG16)</f>
        <v>605355.51082558313</v>
      </c>
      <c r="CB16" s="1">
        <f>$BC16*COS($BG16) + $BD16*SIN($BG16)</f>
        <v>1988.3068369359223</v>
      </c>
      <c r="CC16" s="15">
        <f xml:space="preserve"> - $BC16*SIN($BG16) + $BD16*COS($BG16)</f>
        <v>1853.0935528678876</v>
      </c>
      <c r="CD16" s="35">
        <f t="shared" si="27"/>
        <v>0.93807280000000004</v>
      </c>
      <c r="CF16" s="79">
        <f>$BS16*AF16</f>
        <v>44891.132269651302</v>
      </c>
      <c r="CG16" s="212">
        <f>$BS16*AE16</f>
        <v>45425.550510956666</v>
      </c>
      <c r="CH16" s="212">
        <f>BZ16*AD16</f>
        <v>1979.9174097027542</v>
      </c>
      <c r="CI16" s="80">
        <f>CA16*AC16</f>
        <v>1845.1235969963773</v>
      </c>
      <c r="CJ16" s="114"/>
      <c r="CK16" s="20">
        <f t="shared" si="51"/>
        <v>9</v>
      </c>
      <c r="CL16" s="18">
        <f t="shared" si="52"/>
        <v>10</v>
      </c>
      <c r="CN16" s="53">
        <v>11</v>
      </c>
      <c r="CO16" s="208">
        <v>0.92320000000000002</v>
      </c>
      <c r="CP16" s="244">
        <f t="shared" si="29"/>
        <v>0</v>
      </c>
      <c r="CQ16" s="244">
        <f t="shared" si="30"/>
        <v>0</v>
      </c>
      <c r="CR16" s="211">
        <f t="shared" si="31"/>
        <v>1.5066210071537691</v>
      </c>
      <c r="CS16" s="211">
        <f t="shared" si="32"/>
        <v>-1.7799068739209035E-4</v>
      </c>
      <c r="CT16" s="211">
        <f t="shared" si="33"/>
        <v>1.5976642408459317E-3</v>
      </c>
      <c r="CU16" s="211">
        <f t="shared" si="34"/>
        <v>3.8659951796950124E-5</v>
      </c>
      <c r="CV16" s="211">
        <f t="shared" si="35"/>
        <v>1.6512993674537065E-3</v>
      </c>
      <c r="CW16" s="211">
        <f t="shared" si="36"/>
        <v>-1.0268865001305723E-4</v>
      </c>
      <c r="CX16" s="211">
        <f t="shared" si="37"/>
        <v>21077407.373937417</v>
      </c>
      <c r="CY16" s="211">
        <f t="shared" si="38"/>
        <v>45420.063813543216</v>
      </c>
      <c r="CZ16" s="211">
        <f t="shared" si="39"/>
        <v>46490.79610813922</v>
      </c>
      <c r="DA16" s="211">
        <f t="shared" si="40"/>
        <v>537.9100590342656</v>
      </c>
      <c r="DB16" s="211">
        <f t="shared" si="41"/>
        <v>8526.8551614660719</v>
      </c>
      <c r="DC16" s="211">
        <f t="shared" si="42"/>
        <v>-222.5763746233481</v>
      </c>
      <c r="DD16" s="211">
        <f t="shared" si="43"/>
        <v>332.4363668138991</v>
      </c>
      <c r="DE16" s="211">
        <f t="shared" si="44"/>
        <v>685397.7177819229</v>
      </c>
      <c r="DF16" s="211">
        <f t="shared" si="45"/>
        <v>606821.86678250995</v>
      </c>
      <c r="DG16" s="211">
        <f t="shared" si="46"/>
        <v>2066.5637796530418</v>
      </c>
      <c r="DH16" s="211">
        <f t="shared" si="47"/>
        <v>1827.5573255051081</v>
      </c>
      <c r="DI16" s="203">
        <f t="shared" si="48"/>
        <v>0.92320000000000002</v>
      </c>
    </row>
    <row r="17" spans="1:113">
      <c r="A17" s="47">
        <f>NASA!BI18</f>
        <v>1.0533653846153841</v>
      </c>
      <c r="B17">
        <f>NASA!BJ18</f>
        <v>0.13843</v>
      </c>
      <c r="C17">
        <f>NASA!BK18</f>
        <v>0</v>
      </c>
      <c r="D17" s="145">
        <f>NASA!BL18</f>
        <v>1.0529316</v>
      </c>
      <c r="E17" s="144">
        <f>NASA!BM18</f>
        <v>1.3904427208013002</v>
      </c>
      <c r="F17" s="144">
        <f>NASA!BN18</f>
        <v>19928032.836544</v>
      </c>
      <c r="G17" s="144">
        <f>NASA!BO18</f>
        <v>247.56934443873803</v>
      </c>
      <c r="H17" s="146">
        <f>NASA!BP18</f>
        <v>3.8184666666666663E-3</v>
      </c>
      <c r="I17" s="146">
        <f>NASA!BQ18</f>
        <v>2.8363333333333335E-3</v>
      </c>
      <c r="J17" s="146">
        <f>NASA!BR18</f>
        <v>-3.4374666666666664E-3</v>
      </c>
      <c r="K17" s="146">
        <f>NASA!BS18</f>
        <v>1.397E-3</v>
      </c>
      <c r="L17" s="146">
        <f>NASA!BT18</f>
        <v>3.2173333333333333E-3</v>
      </c>
      <c r="M17" s="146">
        <f>NASA!BU18</f>
        <v>2.1674666666666666E-3</v>
      </c>
      <c r="N17" s="194">
        <f>NASA!BV18</f>
        <v>308.3300169685499</v>
      </c>
      <c r="O17" s="144">
        <f>NASA!BW18</f>
        <v>7518.9144021966031</v>
      </c>
      <c r="P17" s="144">
        <f>NASA!BX18</f>
        <v>17.04669906452207</v>
      </c>
      <c r="Q17" s="144">
        <f>NASA!BY18</f>
        <v>2.0135616511924665E-5</v>
      </c>
      <c r="R17" s="144">
        <f>NASA!BZ18</f>
        <v>1.4708786141258666E-3</v>
      </c>
      <c r="S17" s="144">
        <f>NASA!CA18</f>
        <v>-1.48303708654102E-5</v>
      </c>
      <c r="T17" s="4">
        <f>NASA!CB18</f>
        <v>12</v>
      </c>
      <c r="U17" s="159">
        <f t="shared" si="5"/>
        <v>7664628.0140553843</v>
      </c>
      <c r="V17" s="247">
        <v>629031.79313954595</v>
      </c>
      <c r="W17" s="248">
        <v>0.87</v>
      </c>
      <c r="X17" s="160">
        <v>0.77</v>
      </c>
      <c r="Y17" s="1"/>
      <c r="Z17" s="168">
        <f t="shared" si="6"/>
        <v>0</v>
      </c>
      <c r="AA17" s="156">
        <f t="shared" si="7"/>
        <v>-3.4374666666666664E-3</v>
      </c>
      <c r="AB17" s="1">
        <f t="shared" si="8"/>
        <v>1.397E-3</v>
      </c>
      <c r="AC17" s="1">
        <f t="shared" si="0"/>
        <v>3.8184666666666663E-3</v>
      </c>
      <c r="AD17" s="1">
        <f t="shared" si="1"/>
        <v>2.8363333333333335E-3</v>
      </c>
      <c r="AE17" s="1">
        <f t="shared" si="2"/>
        <v>3.2173333333333333E-3</v>
      </c>
      <c r="AF17" s="15">
        <f t="shared" si="3"/>
        <v>2.1674666666666666E-3</v>
      </c>
      <c r="AH17" s="42">
        <f t="shared" si="4"/>
        <v>1.0533653846153841</v>
      </c>
      <c r="AI17" s="42">
        <f t="shared" si="9"/>
        <v>1.8384694188074875E-2</v>
      </c>
      <c r="AJ17" s="7">
        <f t="shared" si="10"/>
        <v>-3.4625677273379253E-3</v>
      </c>
      <c r="AK17" s="7">
        <f t="shared" si="11"/>
        <v>1.3335707023035251E-3</v>
      </c>
      <c r="AL17" s="7">
        <f t="shared" si="12"/>
        <v>3.7656791862249678E-3</v>
      </c>
      <c r="AM17" s="7">
        <f t="shared" si="13"/>
        <v>2.9060513981439291E-3</v>
      </c>
      <c r="AN17" s="7">
        <f t="shared" si="14"/>
        <v>3.1769436570672411E-3</v>
      </c>
      <c r="AO17" s="23">
        <f t="shared" si="15"/>
        <v>2.2262467358109958E-3</v>
      </c>
      <c r="AP17" s="24"/>
      <c r="AQ17" s="10"/>
      <c r="AR17" s="69">
        <f t="shared" si="16"/>
        <v>247.56934443873803</v>
      </c>
      <c r="AS17" s="180" cm="1">
        <f t="array" ref="AS17">W17 * _xlfn.IFS( $AT$4="P", $U17,  $AT$4="A", $V17)</f>
        <v>547257.66003140493</v>
      </c>
      <c r="AT17" s="180" cm="1">
        <f t="array" ref="AT17">X17 * _xlfn.IFS( $AT$4="P", $U17,  $AT$4="A", $V17)</f>
        <v>484354.48071745038</v>
      </c>
      <c r="AU17" s="183">
        <f t="shared" si="17"/>
        <v>2.2608394888465891E-5</v>
      </c>
      <c r="AV17" s="180">
        <f t="shared" si="18"/>
        <v>1.4875491536919907E-3</v>
      </c>
      <c r="AW17" s="15">
        <f t="shared" si="19"/>
        <v>-2.1250849801158399E-5</v>
      </c>
      <c r="AX17" s="1">
        <f t="shared" si="20"/>
        <v>407.09682572030812</v>
      </c>
      <c r="AY17" s="1">
        <f t="shared" si="21"/>
        <v>7720.0474597064722</v>
      </c>
      <c r="AZ17" s="67">
        <f t="shared" si="22"/>
        <v>157.99090868213497</v>
      </c>
      <c r="BA17" s="1">
        <f t="shared" si="23"/>
        <v>44364.718053490418</v>
      </c>
      <c r="BB17" s="15">
        <f t="shared" si="24"/>
        <v>63310.237517886162</v>
      </c>
      <c r="BC17" s="1">
        <f t="shared" si="25"/>
        <v>1590.3588880792393</v>
      </c>
      <c r="BD17" s="67">
        <f t="shared" si="26"/>
        <v>1823.9235867925054</v>
      </c>
      <c r="BF17" s="185">
        <f xml:space="preserve"> IF($BF$3=1, -A17, 0)</f>
        <v>-1.0533653846153841</v>
      </c>
      <c r="BG17" s="34">
        <f t="shared" si="49"/>
        <v>-1.8384694188074875E-2</v>
      </c>
      <c r="BH17" s="188">
        <v>12</v>
      </c>
      <c r="BI17" s="189">
        <f t="shared" si="50"/>
        <v>1.0529316</v>
      </c>
      <c r="BJ17" s="192">
        <f>D17</f>
        <v>1.0529316</v>
      </c>
      <c r="BK17" s="189">
        <f>C17</f>
        <v>0</v>
      </c>
      <c r="BL17" s="86">
        <v>0</v>
      </c>
      <c r="BM17" s="69">
        <f>E17</f>
        <v>1.3904427208013002</v>
      </c>
      <c r="BN17" s="180">
        <f>AJ17</f>
        <v>-3.4625677273379253E-3</v>
      </c>
      <c r="BO17" s="69">
        <f>AK17</f>
        <v>1.3335707023035251E-3</v>
      </c>
      <c r="BP17" s="1">
        <f>0.5*($AU17+$AV17)+0.5*($AU17-$AV17)*COS(2*$BG17) + $AW17*SIN(2*$BG17)</f>
        <v>2.3884689350011512E-5</v>
      </c>
      <c r="BQ17" s="1">
        <f>0.5*($AU17+$AV17)-0.5*($AU17-$AV17)*COS(2*$BG17)-$AW17*SIN(2*$BG17)</f>
        <v>1.4862728592304449E-3</v>
      </c>
      <c r="BR17" s="15">
        <f xml:space="preserve"> - 0.5*($AU17-$AV17)*SIN(2*$BG17) + $AW17*COS(2*$BG17)</f>
        <v>-4.8162905504883522E-5</v>
      </c>
      <c r="BS17" s="180">
        <f>F17</f>
        <v>19928032.836544</v>
      </c>
      <c r="BT17" s="1">
        <f>$BA17*COS($BG17) + $BB17*SIN($BG17)</f>
        <v>43193.346905447899</v>
      </c>
      <c r="BU17" s="15">
        <f xml:space="preserve"> - $BA17*SIN($BG17) + $BB17*COS($BG17)</f>
        <v>64115.124312774227</v>
      </c>
      <c r="BV17" s="1">
        <f>0.5*($AX17+$AY17)+0.5*($AX17-$AY17)*COS(2*$BG17) + $AZ17*SIN(2*$BG17)</f>
        <v>403.7603823144845</v>
      </c>
      <c r="BW17" s="1">
        <f>0.5*($AX17+$AY17)-0.5*($AX17-$AY17)*COS(2*$BG17)-$AZ17*SIN(2*$BG17)</f>
        <v>7723.3839031122961</v>
      </c>
      <c r="BX17" s="15">
        <f xml:space="preserve"> - 0.5*($AX17-$AY17)*SIN(2*$BG17) + $AZ17*COS(2*$BG17)</f>
        <v>23.468051724111945</v>
      </c>
      <c r="BY17" s="15">
        <f>AR17</f>
        <v>247.56934443873803</v>
      </c>
      <c r="BZ17" s="1">
        <f>0.5*($AS17+$AT17)+0.5*($AS17-$AT17)*COS(2*$BG17)</f>
        <v>547236.40134202619</v>
      </c>
      <c r="CA17" s="15">
        <f>0.5*($AS17+$AT17)-0.5*($AS17-$AT17)*COS(2*$BG17)</f>
        <v>484375.73940682918</v>
      </c>
      <c r="CB17" s="1">
        <f>$BC17*COS($BG17) + $BD17*SIN($BG17)</f>
        <v>1556.5597389690017</v>
      </c>
      <c r="CC17" s="15">
        <f xml:space="preserve"> - $BC17*SIN($BG17) + $BD17*COS($BG17)</f>
        <v>1852.8519699024596</v>
      </c>
      <c r="CD17" s="35">
        <f t="shared" si="27"/>
        <v>1.0529316</v>
      </c>
      <c r="CF17" s="79">
        <f>$BS17*AF17</f>
        <v>43193.346905447899</v>
      </c>
      <c r="CG17" s="212">
        <f>$BS17*AE17</f>
        <v>64115.124312774227</v>
      </c>
      <c r="CH17" s="212">
        <f>BZ17*AD17</f>
        <v>1552.1448463397671</v>
      </c>
      <c r="CI17" s="80">
        <f>CA17*AC17</f>
        <v>1849.5726150669968</v>
      </c>
      <c r="CJ17" s="114"/>
      <c r="CK17" s="20">
        <f t="shared" si="51"/>
        <v>11</v>
      </c>
      <c r="CL17" s="18">
        <f t="shared" si="52"/>
        <v>12</v>
      </c>
      <c r="CN17" s="53">
        <v>12</v>
      </c>
      <c r="CO17" s="208">
        <v>1.0081</v>
      </c>
      <c r="CP17" s="244">
        <f t="shared" si="29"/>
        <v>0</v>
      </c>
      <c r="CQ17" s="244">
        <f t="shared" si="30"/>
        <v>0</v>
      </c>
      <c r="CR17" s="211">
        <f t="shared" si="31"/>
        <v>1.5070595005306422</v>
      </c>
      <c r="CS17" s="211">
        <f t="shared" si="32"/>
        <v>-4.4376929496324066E-3</v>
      </c>
      <c r="CT17" s="211">
        <f t="shared" si="33"/>
        <v>1.2473332488371783E-3</v>
      </c>
      <c r="CU17" s="211">
        <f t="shared" si="34"/>
        <v>2.8079966389456712E-5</v>
      </c>
      <c r="CV17" s="211">
        <f t="shared" si="35"/>
        <v>1.6115590391006585E-3</v>
      </c>
      <c r="CW17" s="211">
        <f t="shared" si="36"/>
        <v>-7.1384068779810819E-5</v>
      </c>
      <c r="CX17" s="211">
        <f t="shared" si="37"/>
        <v>20362089.46121813</v>
      </c>
      <c r="CY17" s="211">
        <f t="shared" si="38"/>
        <v>43856.025205533057</v>
      </c>
      <c r="CZ17" s="211">
        <f t="shared" si="39"/>
        <v>56820.223992959254</v>
      </c>
      <c r="DA17" s="211">
        <f t="shared" si="40"/>
        <v>453.91662846025116</v>
      </c>
      <c r="DB17" s="211">
        <f t="shared" si="41"/>
        <v>8013.4642549805931</v>
      </c>
      <c r="DC17" s="211">
        <f t="shared" si="42"/>
        <v>-65.455177019139143</v>
      </c>
      <c r="DD17" s="211">
        <f t="shared" si="43"/>
        <v>279.75481215103724</v>
      </c>
      <c r="DE17" s="211">
        <f t="shared" si="44"/>
        <v>600527.14848011115</v>
      </c>
      <c r="DF17" s="211">
        <f t="shared" si="45"/>
        <v>531596.47234446229</v>
      </c>
      <c r="DG17" s="211">
        <f t="shared" si="46"/>
        <v>1725.0789399114963</v>
      </c>
      <c r="DH17" s="211">
        <f t="shared" si="47"/>
        <v>1852.9462643829249</v>
      </c>
      <c r="DI17" s="203">
        <f t="shared" si="48"/>
        <v>1.0081</v>
      </c>
    </row>
    <row r="18" spans="1:113">
      <c r="A18" s="47">
        <f>NASA!BI19</f>
        <v>0.7028044871794884</v>
      </c>
      <c r="B18">
        <f>NASA!BJ19</f>
        <v>0.13843</v>
      </c>
      <c r="C18">
        <f>NASA!BK19</f>
        <v>0</v>
      </c>
      <c r="D18" s="29">
        <f>NASA!BL19</f>
        <v>1.0951590999999998</v>
      </c>
      <c r="E18" s="1">
        <f>NASA!BM19</f>
        <v>1.4203200024052947</v>
      </c>
      <c r="F18" s="1">
        <f>NASA!BN19</f>
        <v>18860459.648871999</v>
      </c>
      <c r="G18" s="1">
        <f>NASA!BO19</f>
        <v>185.67700832905351</v>
      </c>
      <c r="H18" s="141">
        <f>NASA!BP19</f>
        <v>7.0866000000000002E-3</v>
      </c>
      <c r="I18" s="141">
        <f>NASA!BQ19</f>
        <v>2.7431999999999999E-3</v>
      </c>
      <c r="J18" s="141">
        <f>NASA!BR19</f>
        <v>-6.7055999999999999E-3</v>
      </c>
      <c r="K18" s="141">
        <f>NASA!BS19</f>
        <v>1.1937999999999999E-3</v>
      </c>
      <c r="L18" s="141">
        <f>NASA!BT19</f>
        <v>4.4449999999999993E-3</v>
      </c>
      <c r="M18" s="141">
        <f>NASA!BU19</f>
        <v>2.2097999999999996E-3</v>
      </c>
      <c r="N18">
        <f>NASA!BV19</f>
        <v>213.02634201337932</v>
      </c>
      <c r="O18" s="1">
        <f>NASA!BW19</f>
        <v>6801.4607378648661</v>
      </c>
      <c r="P18" s="1">
        <f>NASA!BX19</f>
        <v>33.57683149072529</v>
      </c>
      <c r="Q18" s="1">
        <f>NASA!BY19</f>
        <v>1.5702222302008998E-5</v>
      </c>
      <c r="R18" s="1">
        <f>NASA!BZ19</f>
        <v>1.4456720249724998E-3</v>
      </c>
      <c r="S18" s="1">
        <f>NASA!CA19</f>
        <v>-1.7970815325812001E-5</v>
      </c>
      <c r="T18" s="4">
        <f>NASA!CB19</f>
        <v>13</v>
      </c>
      <c r="U18" s="159">
        <f t="shared" si="5"/>
        <v>7254022.9418738456</v>
      </c>
      <c r="V18" s="247">
        <v>489681.41036560002</v>
      </c>
      <c r="W18" s="248">
        <v>0.87</v>
      </c>
      <c r="X18" s="160">
        <v>0.77</v>
      </c>
      <c r="Y18" s="1"/>
      <c r="Z18" s="168">
        <f t="shared" si="6"/>
        <v>0</v>
      </c>
      <c r="AA18" s="156">
        <f t="shared" si="7"/>
        <v>-6.7055999999999999E-3</v>
      </c>
      <c r="AB18" s="1">
        <f t="shared" si="8"/>
        <v>1.1937999999999999E-3</v>
      </c>
      <c r="AC18" s="1">
        <f t="shared" si="0"/>
        <v>7.0866000000000002E-3</v>
      </c>
      <c r="AD18" s="1">
        <f t="shared" si="1"/>
        <v>2.7431999999999999E-3</v>
      </c>
      <c r="AE18" s="1">
        <f t="shared" si="2"/>
        <v>4.4449999999999993E-3</v>
      </c>
      <c r="AF18" s="15">
        <f t="shared" si="3"/>
        <v>2.2097999999999996E-3</v>
      </c>
      <c r="AH18" s="42">
        <f t="shared" si="4"/>
        <v>0.7028044871794884</v>
      </c>
      <c r="AI18" s="42">
        <f t="shared" si="9"/>
        <v>1.2266252299072349E-2</v>
      </c>
      <c r="AJ18" s="7">
        <f t="shared" si="10"/>
        <v>-6.7197386256533341E-3</v>
      </c>
      <c r="AK18" s="7">
        <f t="shared" si="11"/>
        <v>1.1114596721890739E-3</v>
      </c>
      <c r="AL18" s="7">
        <f t="shared" si="12"/>
        <v>7.0524189389079466E-3</v>
      </c>
      <c r="AM18" s="7">
        <f t="shared" si="13"/>
        <v>2.8299174740851582E-3</v>
      </c>
      <c r="AN18" s="7">
        <f t="shared" si="14"/>
        <v>4.4175603201374218E-3</v>
      </c>
      <c r="AO18" s="23">
        <f t="shared" si="15"/>
        <v>2.2641558819894349E-3</v>
      </c>
      <c r="AP18" s="24"/>
      <c r="AQ18" s="10"/>
      <c r="AR18" s="69">
        <f t="shared" si="16"/>
        <v>185.67700832905351</v>
      </c>
      <c r="AS18" s="180" cm="1">
        <f t="array" ref="AS18">W18 * _xlfn.IFS( $AT$4="P", $U18,  $AT$4="A", $V18)</f>
        <v>426022.82701807201</v>
      </c>
      <c r="AT18" s="180" cm="1">
        <f t="array" ref="AT18">X18 * _xlfn.IFS( $AT$4="P", $U18,  $AT$4="A", $V18)</f>
        <v>377054.68598151201</v>
      </c>
      <c r="AU18" s="183">
        <f t="shared" si="17"/>
        <v>1.7456804110735043E-5</v>
      </c>
      <c r="AV18" s="180">
        <f t="shared" si="18"/>
        <v>1.5098064144648919E-3</v>
      </c>
      <c r="AW18" s="15">
        <f t="shared" si="19"/>
        <v>-2.8578785589585466E-5</v>
      </c>
      <c r="AX18" s="1">
        <f t="shared" si="20"/>
        <v>309.7126373990979</v>
      </c>
      <c r="AY18" s="1">
        <f t="shared" si="21"/>
        <v>7169.519574812196</v>
      </c>
      <c r="AZ18" s="67">
        <f t="shared" si="22"/>
        <v>222.220001068671</v>
      </c>
      <c r="BA18" s="1">
        <f t="shared" si="23"/>
        <v>42703.020651017927</v>
      </c>
      <c r="BB18" s="15">
        <f t="shared" si="24"/>
        <v>83317.218164409918</v>
      </c>
      <c r="BC18" s="1">
        <f t="shared" si="25"/>
        <v>1205.6094425376007</v>
      </c>
      <c r="BD18" s="67">
        <f t="shared" si="26"/>
        <v>2659.147608420004</v>
      </c>
      <c r="BF18" s="185">
        <f xml:space="preserve"> IF($BF$3=1, -A18, 0)</f>
        <v>-0.7028044871794884</v>
      </c>
      <c r="BG18" s="34">
        <f t="shared" si="49"/>
        <v>-1.2266252299072349E-2</v>
      </c>
      <c r="BH18" s="188">
        <v>13</v>
      </c>
      <c r="BI18" s="189">
        <f t="shared" si="50"/>
        <v>1.0951590999999998</v>
      </c>
      <c r="BJ18" s="192">
        <f>D18</f>
        <v>1.0951590999999998</v>
      </c>
      <c r="BK18" s="189">
        <f>C18</f>
        <v>0</v>
      </c>
      <c r="BL18" s="86">
        <v>0</v>
      </c>
      <c r="BM18" s="69">
        <f>E18</f>
        <v>1.4203200024052947</v>
      </c>
      <c r="BN18" s="180">
        <f>AJ18</f>
        <v>-6.7197386256533341E-3</v>
      </c>
      <c r="BO18" s="69">
        <f>AK18</f>
        <v>1.1114596721890739E-3</v>
      </c>
      <c r="BP18" s="1">
        <f>0.5*($AU18+$AV18)+0.5*($AU18-$AV18)*COS(2*$BG18) + $AW18*SIN(2*$BG18)</f>
        <v>1.838237204741609E-5</v>
      </c>
      <c r="BQ18" s="1">
        <f>0.5*($AU18+$AV18)-0.5*($AU18-$AV18)*COS(2*$BG18)-$AW18*SIN(2*$BG18)</f>
        <v>1.508880846528211E-3</v>
      </c>
      <c r="BR18" s="15">
        <f xml:space="preserve"> - 0.5*($AU18-$AV18)*SIN(2*$BG18) + $AW18*COS(2*$BG18)</f>
        <v>-4.6873886754057455E-5</v>
      </c>
      <c r="BS18" s="180">
        <f>F18</f>
        <v>18860459.648871999</v>
      </c>
      <c r="BT18" s="1">
        <f>$BA18*COS($BG18) + $BB18*SIN($BG18)</f>
        <v>41677.843732077337</v>
      </c>
      <c r="BU18" s="15">
        <f xml:space="preserve"> - $BA18*SIN($BG18) + $BB18*COS($BG18)</f>
        <v>83834.74313923603</v>
      </c>
      <c r="BV18" s="1">
        <f>0.5*($AX18+$AY18)+0.5*($AX18-$AY18)*COS(2*$BG18) + $AZ18*SIN(2*$BG18)</f>
        <v>305.29365229451764</v>
      </c>
      <c r="BW18" s="1">
        <f>0.5*($AX18+$AY18)-0.5*($AX18-$AY18)*COS(2*$BG18)-$AZ18*SIN(2*$BG18)</f>
        <v>7173.9385599167763</v>
      </c>
      <c r="BX18" s="15">
        <f xml:space="preserve"> - 0.5*($AX18-$AY18)*SIN(2*$BG18) + $AZ18*COS(2*$BG18)</f>
        <v>138.0174509577754</v>
      </c>
      <c r="BY18" s="15">
        <f>AR18</f>
        <v>185.67700832905351</v>
      </c>
      <c r="BZ18" s="1">
        <f>0.5*($AS18+$AT18)+0.5*($AS18-$AT18)*COS(2*$BG18)</f>
        <v>426015.45959478826</v>
      </c>
      <c r="CA18" s="15">
        <f>0.5*($AS18+$AT18)-0.5*($AS18-$AT18)*COS(2*$BG18)</f>
        <v>377062.0534047957</v>
      </c>
      <c r="CB18" s="1">
        <f>$BC18*COS($BG18) + $BD18*SIN($BG18)</f>
        <v>1172.901787585233</v>
      </c>
      <c r="CC18" s="15">
        <f xml:space="preserve"> - $BC18*SIN($BG18) + $BD18*COS($BG18)</f>
        <v>2673.7355007519004</v>
      </c>
      <c r="CD18" s="35">
        <f t="shared" si="27"/>
        <v>1.0951590999999998</v>
      </c>
      <c r="CF18" s="79">
        <f>$BS18*AF18</f>
        <v>41677.843732077337</v>
      </c>
      <c r="CG18" s="212">
        <f>$BS18*AE18</f>
        <v>83834.74313923603</v>
      </c>
      <c r="CH18" s="212">
        <f>BZ18*AD18</f>
        <v>1168.6456087604231</v>
      </c>
      <c r="CI18" s="80">
        <f>CA18*AC18</f>
        <v>2672.0879476584255</v>
      </c>
      <c r="CJ18" s="114"/>
      <c r="CK18" s="20">
        <f t="shared" si="51"/>
        <v>12</v>
      </c>
      <c r="CL18" s="18">
        <f t="shared" si="52"/>
        <v>13</v>
      </c>
      <c r="CN18" s="53">
        <v>13</v>
      </c>
      <c r="CO18" s="208">
        <v>1.0920000000000001</v>
      </c>
      <c r="CP18" s="244">
        <f t="shared" si="29"/>
        <v>0</v>
      </c>
      <c r="CQ18" s="244">
        <f t="shared" si="30"/>
        <v>0</v>
      </c>
      <c r="CR18" s="211">
        <f t="shared" si="31"/>
        <v>1.4180848400036565</v>
      </c>
      <c r="CS18" s="211">
        <f t="shared" si="32"/>
        <v>-6.4760649867955421E-3</v>
      </c>
      <c r="CT18" s="211">
        <f t="shared" si="33"/>
        <v>1.1280761177573531E-3</v>
      </c>
      <c r="CU18" s="211">
        <f t="shared" si="34"/>
        <v>1.8794008317397213E-5</v>
      </c>
      <c r="CV18" s="211">
        <f t="shared" si="35"/>
        <v>1.5071895104871863E-3</v>
      </c>
      <c r="CW18" s="211">
        <f t="shared" si="36"/>
        <v>-4.6970320100472332E-5</v>
      </c>
      <c r="CX18" s="211">
        <f t="shared" si="37"/>
        <v>18940326.334258877</v>
      </c>
      <c r="CY18" s="211">
        <f t="shared" si="38"/>
        <v>41791.220703837316</v>
      </c>
      <c r="CZ18" s="211">
        <f t="shared" si="39"/>
        <v>82359.49009715041</v>
      </c>
      <c r="DA18" s="211">
        <f t="shared" si="40"/>
        <v>312.66008996679409</v>
      </c>
      <c r="DB18" s="211">
        <f t="shared" si="41"/>
        <v>7215.0433561677701</v>
      </c>
      <c r="DC18" s="211">
        <f t="shared" si="42"/>
        <v>129.44784567403758</v>
      </c>
      <c r="DD18" s="211">
        <f t="shared" si="43"/>
        <v>190.30726299731683</v>
      </c>
      <c r="DE18" s="211">
        <f t="shared" si="44"/>
        <v>435084.17256793776</v>
      </c>
      <c r="DF18" s="211">
        <f t="shared" si="45"/>
        <v>385090.34457640187</v>
      </c>
      <c r="DG18" s="211">
        <f t="shared" si="46"/>
        <v>1201.6037906452382</v>
      </c>
      <c r="DH18" s="211">
        <f t="shared" si="47"/>
        <v>2612.3240233424808</v>
      </c>
      <c r="DI18" s="203">
        <f t="shared" si="48"/>
        <v>1.0920000000000001</v>
      </c>
    </row>
    <row r="19" spans="1:113">
      <c r="A19" s="47">
        <f>NASA!BI20</f>
        <v>8.4028126569563266E-2</v>
      </c>
      <c r="B19">
        <f>NASA!BJ20</f>
        <v>0.13843</v>
      </c>
      <c r="C19">
        <f>NASA!BK20</f>
        <v>0</v>
      </c>
      <c r="D19" s="29">
        <f>NASA!BL20</f>
        <v>1.1694794999999998</v>
      </c>
      <c r="E19" s="1">
        <f>NASA!BM20</f>
        <v>1.2341615554880958</v>
      </c>
      <c r="F19" s="1">
        <f>NASA!BN20</f>
        <v>18860459.648871999</v>
      </c>
      <c r="G19" s="1">
        <f>NASA!BO20</f>
        <v>185.67700832905351</v>
      </c>
      <c r="H19" s="141">
        <f>NASA!BP20</f>
        <v>7.1374000000000003E-3</v>
      </c>
      <c r="I19" s="141">
        <f>NASA!BQ20</f>
        <v>2.7431999999999999E-3</v>
      </c>
      <c r="J19" s="141">
        <f>NASA!BR20</f>
        <v>-8.8900000000000003E-4</v>
      </c>
      <c r="K19" s="141">
        <f>NASA!BS20</f>
        <v>1.6509999999999999E-3</v>
      </c>
      <c r="L19" s="141">
        <f>NASA!BT20</f>
        <v>4.4703999999999994E-3</v>
      </c>
      <c r="M19" s="141">
        <f>NASA!BU20</f>
        <v>2.2097999999999996E-3</v>
      </c>
      <c r="N19">
        <f>NASA!BV20</f>
        <v>213.33341218171333</v>
      </c>
      <c r="O19" s="1">
        <f>NASA!BW20</f>
        <v>6830.1588844381358</v>
      </c>
      <c r="P19" s="1">
        <f>NASA!BX20</f>
        <v>35.585701750854149</v>
      </c>
      <c r="Q19" s="1">
        <f>NASA!BY20</f>
        <v>1.3789487007429999E-5</v>
      </c>
      <c r="R19" s="1">
        <f>NASA!BZ20</f>
        <v>1.3611558142817999E-3</v>
      </c>
      <c r="S19" s="1">
        <f>NASA!CA20</f>
        <v>3.0069978119427997E-6</v>
      </c>
      <c r="T19" s="4">
        <f>NASA!CB20</f>
        <v>14</v>
      </c>
      <c r="U19" s="159">
        <f t="shared" si="5"/>
        <v>7254022.9418738456</v>
      </c>
      <c r="V19" s="247">
        <v>487533.40723437798</v>
      </c>
      <c r="W19" s="248">
        <v>0.87</v>
      </c>
      <c r="X19" s="160">
        <v>0.77</v>
      </c>
      <c r="Y19" s="1"/>
      <c r="Z19" s="168">
        <f t="shared" si="6"/>
        <v>0</v>
      </c>
      <c r="AA19" s="156">
        <f t="shared" si="7"/>
        <v>-8.8900000000000003E-4</v>
      </c>
      <c r="AB19" s="1">
        <f t="shared" si="8"/>
        <v>1.6509999999999999E-3</v>
      </c>
      <c r="AC19" s="1">
        <f t="shared" si="0"/>
        <v>7.1374000000000003E-3</v>
      </c>
      <c r="AD19" s="1">
        <f t="shared" si="1"/>
        <v>2.7431999999999999E-3</v>
      </c>
      <c r="AE19" s="1">
        <f t="shared" si="2"/>
        <v>4.4703999999999994E-3</v>
      </c>
      <c r="AF19" s="15">
        <f t="shared" si="3"/>
        <v>2.2097999999999996E-3</v>
      </c>
      <c r="AH19" s="42">
        <f t="shared" si="4"/>
        <v>8.4028126569563266E-2</v>
      </c>
      <c r="AI19" s="42">
        <f t="shared" si="9"/>
        <v>1.4665674729214071E-3</v>
      </c>
      <c r="AJ19" s="7">
        <f t="shared" si="10"/>
        <v>-8.9142034599044232E-4</v>
      </c>
      <c r="AK19" s="7">
        <f t="shared" si="11"/>
        <v>1.6496944464822203E-3</v>
      </c>
      <c r="AL19" s="7">
        <f t="shared" si="12"/>
        <v>7.133369237919936E-3</v>
      </c>
      <c r="AM19" s="7">
        <f t="shared" si="13"/>
        <v>2.7536645248645592E-3</v>
      </c>
      <c r="AN19" s="7">
        <f t="shared" si="14"/>
        <v>4.4671543728477311E-3</v>
      </c>
      <c r="AO19" s="23">
        <f t="shared" si="15"/>
        <v>2.216353764440006E-3</v>
      </c>
      <c r="AP19" s="24"/>
      <c r="AQ19" s="10"/>
      <c r="AR19" s="69">
        <f t="shared" si="16"/>
        <v>185.67700832905351</v>
      </c>
      <c r="AS19" s="180" cm="1">
        <f t="array" ref="AS19">W19 * _xlfn.IFS( $AT$4="P", $U19,  $AT$4="A", $V19)</f>
        <v>424154.06429390883</v>
      </c>
      <c r="AT19" s="180" cm="1">
        <f t="array" ref="AT19">X19 * _xlfn.IFS( $AT$4="P", $U19,  $AT$4="A", $V19)</f>
        <v>375400.72357047105</v>
      </c>
      <c r="AU19" s="183">
        <f t="shared" si="17"/>
        <v>1.7148247519535507E-5</v>
      </c>
      <c r="AV19" s="180">
        <f t="shared" si="18"/>
        <v>1.3621365163665002E-3</v>
      </c>
      <c r="AW19" s="15">
        <f t="shared" si="19"/>
        <v>1.192075379376803E-6</v>
      </c>
      <c r="AX19" s="1">
        <f t="shared" si="20"/>
        <v>305.98021489245787</v>
      </c>
      <c r="AY19" s="1">
        <f t="shared" si="21"/>
        <v>7206.5281870260606</v>
      </c>
      <c r="AZ19" s="67">
        <f t="shared" si="22"/>
        <v>222.31923522367182</v>
      </c>
      <c r="BA19" s="1">
        <f t="shared" si="23"/>
        <v>41801.450741846289</v>
      </c>
      <c r="BB19" s="15">
        <f t="shared" si="24"/>
        <v>84252.584794376729</v>
      </c>
      <c r="BC19" s="1">
        <f t="shared" si="25"/>
        <v>1167.9779999232583</v>
      </c>
      <c r="BD19" s="67">
        <f t="shared" si="26"/>
        <v>2677.8719734104834</v>
      </c>
      <c r="BF19" s="185">
        <f xml:space="preserve"> IF($BF$3=1, -A19, 0)</f>
        <v>-8.4028126569563266E-2</v>
      </c>
      <c r="BG19" s="34">
        <f t="shared" si="49"/>
        <v>-1.4665674729214071E-3</v>
      </c>
      <c r="BH19" s="188">
        <v>14</v>
      </c>
      <c r="BI19" s="189">
        <f t="shared" si="50"/>
        <v>1.1694794999999998</v>
      </c>
      <c r="BJ19" s="192">
        <f>D19</f>
        <v>1.1694794999999998</v>
      </c>
      <c r="BK19" s="189">
        <f>C19</f>
        <v>0</v>
      </c>
      <c r="BL19" s="86">
        <v>0</v>
      </c>
      <c r="BM19" s="69">
        <f>E19</f>
        <v>1.2341615554880958</v>
      </c>
      <c r="BN19" s="180">
        <f>AJ19</f>
        <v>-8.9142034599044232E-4</v>
      </c>
      <c r="BO19" s="69">
        <f>AK19</f>
        <v>1.6496944464822203E-3</v>
      </c>
      <c r="BP19" s="1">
        <f>0.5*($AU19+$AV19)+0.5*($AU19-$AV19)*COS(2*$BG19) + $AW19*SIN(2*$BG19)</f>
        <v>1.7147643832395407E-5</v>
      </c>
      <c r="BQ19" s="1">
        <f>0.5*($AU19+$AV19)-0.5*($AU19-$AV19)*COS(2*$BG19)-$AW19*SIN(2*$BG19)</f>
        <v>1.3621371200536402E-3</v>
      </c>
      <c r="BR19" s="15">
        <f xml:space="preserve"> - 0.5*($AU19-$AV19)*SIN(2*$BG19) + $AW19*COS(2*$BG19)</f>
        <v>-7.8044296670055785E-7</v>
      </c>
      <c r="BS19" s="180">
        <f>F19</f>
        <v>18860459.648871999</v>
      </c>
      <c r="BT19" s="1">
        <f>$BA19*COS($BG19) + $BB19*SIN($BG19)</f>
        <v>41677.84373207733</v>
      </c>
      <c r="BU19" s="15">
        <f xml:space="preserve"> - $BA19*SIN($BG19) + $BB19*COS($BG19)</f>
        <v>84313.798814317357</v>
      </c>
      <c r="BV19" s="1">
        <f>0.5*($AX19+$AY19)+0.5*($AX19-$AY19)*COS(2*$BG19) + $AZ19*SIN(2*$BG19)</f>
        <v>305.34296533651428</v>
      </c>
      <c r="BW19" s="1">
        <f>0.5*($AX19+$AY19)-0.5*($AX19-$AY19)*COS(2*$BG19)-$AZ19*SIN(2*$BG19)</f>
        <v>7207.1654365820041</v>
      </c>
      <c r="BX19" s="15">
        <f xml:space="preserve"> - 0.5*($AX19-$AY19)*SIN(2*$BG19) + $AZ19*COS(2*$BG19)</f>
        <v>212.19817419674101</v>
      </c>
      <c r="BY19" s="15">
        <f>AR19</f>
        <v>185.67700832905351</v>
      </c>
      <c r="BZ19" s="1">
        <f>0.5*($AS19+$AT19)+0.5*($AS19-$AT19)*COS(2*$BG19)</f>
        <v>424153.95943431626</v>
      </c>
      <c r="CA19" s="15">
        <f>0.5*($AS19+$AT19)-0.5*($AS19-$AT19)*COS(2*$BG19)</f>
        <v>375400.82843006356</v>
      </c>
      <c r="CB19" s="1">
        <f>$BC19*COS($BG19) + $BD19*SIN($BG19)</f>
        <v>1164.0494653431338</v>
      </c>
      <c r="CC19" s="15">
        <f xml:space="preserve"> - $BC19*SIN($BG19) + $BD19*COS($BG19)</f>
        <v>2679.5820115302417</v>
      </c>
      <c r="CD19" s="35">
        <f t="shared" si="27"/>
        <v>1.1694794999999998</v>
      </c>
      <c r="CF19" s="79">
        <f>$BS19*AF19</f>
        <v>41677.843732077337</v>
      </c>
      <c r="CG19" s="212">
        <f>$BS19*AE19</f>
        <v>84313.798814317372</v>
      </c>
      <c r="CH19" s="212">
        <f>BZ19*AD19</f>
        <v>1163.5391415202164</v>
      </c>
      <c r="CI19" s="80">
        <f>CA19*AC19</f>
        <v>2679.3858728367359</v>
      </c>
      <c r="CJ19" s="114"/>
      <c r="CK19" s="20">
        <f t="shared" si="51"/>
        <v>14</v>
      </c>
      <c r="CL19" s="18">
        <f t="shared" si="52"/>
        <v>15</v>
      </c>
      <c r="CN19" s="53">
        <v>14</v>
      </c>
      <c r="CO19" s="208">
        <v>1.1758999999999999</v>
      </c>
      <c r="CP19" s="244">
        <f t="shared" si="29"/>
        <v>0</v>
      </c>
      <c r="CQ19" s="244">
        <f t="shared" si="30"/>
        <v>0</v>
      </c>
      <c r="CR19" s="211">
        <f t="shared" si="31"/>
        <v>1.2236783894940915</v>
      </c>
      <c r="CS19" s="211">
        <f t="shared" si="32"/>
        <v>1.7734140435041244E-5</v>
      </c>
      <c r="CT19" s="211">
        <f t="shared" si="33"/>
        <v>1.4190250946955398E-3</v>
      </c>
      <c r="CU19" s="211">
        <f t="shared" si="34"/>
        <v>1.8245418231199204E-5</v>
      </c>
      <c r="CV19" s="211">
        <f t="shared" si="35"/>
        <v>1.3411793013143459E-3</v>
      </c>
      <c r="CW19" s="211">
        <f t="shared" si="36"/>
        <v>-1.6717834792001519E-5</v>
      </c>
      <c r="CX19" s="211">
        <f t="shared" si="37"/>
        <v>18894276.245735459</v>
      </c>
      <c r="CY19" s="211">
        <f t="shared" si="38"/>
        <v>41752.571647826204</v>
      </c>
      <c r="CZ19" s="211">
        <f t="shared" si="39"/>
        <v>84464.972528935774</v>
      </c>
      <c r="DA19" s="211">
        <f t="shared" si="40"/>
        <v>305.85715484014747</v>
      </c>
      <c r="DB19" s="211">
        <f t="shared" si="41"/>
        <v>7207.784537149897</v>
      </c>
      <c r="DC19" s="211">
        <f t="shared" si="42"/>
        <v>216.96048259824661</v>
      </c>
      <c r="DD19" s="211">
        <f t="shared" si="43"/>
        <v>186.33152179802639</v>
      </c>
      <c r="DE19" s="211">
        <f t="shared" si="44"/>
        <v>426445.66685777594</v>
      </c>
      <c r="DF19" s="211">
        <f t="shared" si="45"/>
        <v>377428.97496559744</v>
      </c>
      <c r="DG19" s="211">
        <f t="shared" si="46"/>
        <v>1186.5086990657298</v>
      </c>
      <c r="DH19" s="211">
        <f t="shared" si="47"/>
        <v>2686.6331328779038</v>
      </c>
      <c r="DI19" s="203">
        <f t="shared" si="48"/>
        <v>1.1758999999999999</v>
      </c>
    </row>
    <row r="20" spans="1:113">
      <c r="A20" s="47">
        <f>NASA!BI21</f>
        <v>1.3711702661978964E-2</v>
      </c>
      <c r="B20">
        <f>NASA!BJ21</f>
        <v>0.13843</v>
      </c>
      <c r="C20">
        <f>NASA!BK21</f>
        <v>0</v>
      </c>
      <c r="D20" s="29">
        <f>NASA!BL21</f>
        <v>1.1779249999999999</v>
      </c>
      <c r="E20" s="1">
        <f>NASA!BM21</f>
        <v>1.2203720409016365</v>
      </c>
      <c r="F20" s="1">
        <f>NASA!BN21</f>
        <v>18904941.865024999</v>
      </c>
      <c r="G20" s="1">
        <f>NASA!BO21</f>
        <v>186.5379527262516</v>
      </c>
      <c r="H20" s="141">
        <f>NASA!BP21</f>
        <v>7.1120000000000003E-3</v>
      </c>
      <c r="I20" s="141">
        <f>NASA!BQ21</f>
        <v>2.794E-3</v>
      </c>
      <c r="J20" s="141">
        <f>NASA!BR21</f>
        <v>3.0479999999999998E-4</v>
      </c>
      <c r="K20" s="141">
        <f>NASA!BS21</f>
        <v>1.3461999999999999E-3</v>
      </c>
      <c r="L20" s="141">
        <f>NASA!BT21</f>
        <v>4.4703999999999994E-3</v>
      </c>
      <c r="M20" s="141">
        <f>NASA!BU21</f>
        <v>2.2097999999999996E-3</v>
      </c>
      <c r="N20">
        <f>NASA!BV21</f>
        <v>213.7179673457951</v>
      </c>
      <c r="O20" s="1">
        <f>NASA!BW21</f>
        <v>6830.1588844381358</v>
      </c>
      <c r="P20" s="1">
        <f>NASA!BX21</f>
        <v>33.289850024992589</v>
      </c>
      <c r="Q20" s="1">
        <f>NASA!BY21</f>
        <v>1.6369455544303999E-5</v>
      </c>
      <c r="R20" s="1">
        <f>NASA!BZ21</f>
        <v>1.3344664845899997E-3</v>
      </c>
      <c r="S20" s="1">
        <f>NASA!CA21</f>
        <v>-2.1929732563428998E-5</v>
      </c>
      <c r="T20" s="4">
        <f>NASA!CB21</f>
        <v>15</v>
      </c>
      <c r="U20" s="159">
        <f t="shared" si="5"/>
        <v>7271131.4865480764</v>
      </c>
      <c r="V20" s="247">
        <v>490998.23565275199</v>
      </c>
      <c r="W20" s="248">
        <v>0.87</v>
      </c>
      <c r="X20" s="160">
        <v>0.77</v>
      </c>
      <c r="Y20" s="1"/>
      <c r="Z20" s="168">
        <f t="shared" si="6"/>
        <v>0</v>
      </c>
      <c r="AA20" s="156">
        <f t="shared" si="7"/>
        <v>3.0479999999999998E-4</v>
      </c>
      <c r="AB20" s="1">
        <f t="shared" si="8"/>
        <v>1.3461999999999999E-3</v>
      </c>
      <c r="AC20" s="1">
        <f t="shared" si="0"/>
        <v>7.1120000000000003E-3</v>
      </c>
      <c r="AD20" s="1">
        <f t="shared" si="1"/>
        <v>2.794E-3</v>
      </c>
      <c r="AE20" s="1">
        <f t="shared" si="2"/>
        <v>4.4703999999999994E-3</v>
      </c>
      <c r="AF20" s="15">
        <f t="shared" si="3"/>
        <v>2.2097999999999996E-3</v>
      </c>
      <c r="AH20" s="42">
        <f t="shared" si="4"/>
        <v>1.3711702661978964E-2</v>
      </c>
      <c r="AI20" s="42">
        <f t="shared" si="9"/>
        <v>2.3931435750600401E-4</v>
      </c>
      <c r="AJ20" s="7">
        <f t="shared" si="10"/>
        <v>3.0447782628684509E-4</v>
      </c>
      <c r="AK20" s="7">
        <f t="shared" si="11"/>
        <v>1.346272904466118E-3</v>
      </c>
      <c r="AL20" s="7">
        <f t="shared" si="12"/>
        <v>7.1113311520345501E-3</v>
      </c>
      <c r="AM20" s="7">
        <f t="shared" si="13"/>
        <v>2.7957019236862449E-3</v>
      </c>
      <c r="AN20" s="7">
        <f t="shared" si="14"/>
        <v>4.4698710351248833E-3</v>
      </c>
      <c r="AO20" s="23">
        <f t="shared" si="15"/>
        <v>2.2108697676144554E-3</v>
      </c>
      <c r="AP20" s="24"/>
      <c r="AQ20" s="10"/>
      <c r="AR20" s="69">
        <f t="shared" si="16"/>
        <v>186.5379527262516</v>
      </c>
      <c r="AS20" s="180" cm="1">
        <f t="array" ref="AS20">W20 * _xlfn.IFS( $AT$4="P", $U20,  $AT$4="A", $V20)</f>
        <v>427168.46501789422</v>
      </c>
      <c r="AT20" s="180" cm="1">
        <f t="array" ref="AT20">X20 * _xlfn.IFS( $AT$4="P", $U20,  $AT$4="A", $V20)</f>
        <v>378068.64145261905</v>
      </c>
      <c r="AU20" s="183">
        <f t="shared" si="17"/>
        <v>1.8581319744734545E-5</v>
      </c>
      <c r="AV20" s="180">
        <f t="shared" si="18"/>
        <v>1.3345796213116757E-3</v>
      </c>
      <c r="AW20" s="15">
        <f t="shared" si="19"/>
        <v>-2.1429489558051234E-5</v>
      </c>
      <c r="AX20" s="1">
        <f t="shared" si="20"/>
        <v>306.12428585561912</v>
      </c>
      <c r="AY20" s="1">
        <f t="shared" si="21"/>
        <v>7207.8748412866471</v>
      </c>
      <c r="AZ20" s="67">
        <f t="shared" si="22"/>
        <v>220.11420875475375</v>
      </c>
      <c r="BA20" s="1">
        <f t="shared" si="23"/>
        <v>41796.364427892608</v>
      </c>
      <c r="BB20" s="15">
        <f t="shared" si="24"/>
        <v>84502.652063195026</v>
      </c>
      <c r="BC20" s="1">
        <f t="shared" si="25"/>
        <v>1194.2356993886274</v>
      </c>
      <c r="BD20" s="67">
        <f t="shared" si="26"/>
        <v>2688.5713075693907</v>
      </c>
      <c r="BF20" s="185">
        <f xml:space="preserve"> IF($BF$3=1, -A20, 0)</f>
        <v>-1.3711702661978964E-2</v>
      </c>
      <c r="BG20" s="34">
        <f t="shared" si="49"/>
        <v>-2.3931435750600401E-4</v>
      </c>
      <c r="BH20" s="188">
        <v>15</v>
      </c>
      <c r="BI20" s="189">
        <f t="shared" si="50"/>
        <v>1.1779249999999999</v>
      </c>
      <c r="BJ20" s="192">
        <f>D20</f>
        <v>1.1779249999999999</v>
      </c>
      <c r="BK20" s="189">
        <f>C20</f>
        <v>0</v>
      </c>
      <c r="BL20" s="86">
        <v>0</v>
      </c>
      <c r="BM20" s="69">
        <f>E20</f>
        <v>1.2203720409016365</v>
      </c>
      <c r="BN20" s="180">
        <f>AJ20</f>
        <v>3.0447782628684509E-4</v>
      </c>
      <c r="BO20" s="69">
        <f>AK20</f>
        <v>1.346272904466118E-3</v>
      </c>
      <c r="BP20" s="1">
        <f>0.5*($AU20+$AV20)+0.5*($AU20-$AV20)*COS(2*$BG20) + $AW20*SIN(2*$BG20)</f>
        <v>1.8591651882406676E-5</v>
      </c>
      <c r="BQ20" s="1">
        <f>0.5*($AU20+$AV20)-0.5*($AU20-$AV20)*COS(2*$BG20)-$AW20*SIN(2*$BG20)</f>
        <v>1.3345692891740034E-3</v>
      </c>
      <c r="BR20" s="15">
        <f xml:space="preserve"> - 0.5*($AU20-$AV20)*SIN(2*$BG20) + $AW20*COS(2*$BG20)</f>
        <v>-2.1744424379453078E-5</v>
      </c>
      <c r="BS20" s="180">
        <f>F20</f>
        <v>18904941.865024999</v>
      </c>
      <c r="BT20" s="1">
        <f>$BA20*COS($BG20) + $BB20*SIN($BG20)</f>
        <v>41776.140533332233</v>
      </c>
      <c r="BU20" s="15">
        <f xml:space="preserve"> - $BA20*SIN($BG20) + $BB20*COS($BG20)</f>
        <v>84512.652113407734</v>
      </c>
      <c r="BV20" s="1">
        <f>0.5*($AX20+$AY20)+0.5*($AX20-$AY20)*COS(2*$BG20) + $AZ20*SIN(2*$BG20)</f>
        <v>306.01932815139384</v>
      </c>
      <c r="BW20" s="1">
        <f>0.5*($AX20+$AY20)-0.5*($AX20-$AY20)*COS(2*$BG20)-$AZ20*SIN(2*$BG20)</f>
        <v>7207.979798990872</v>
      </c>
      <c r="BX20" s="15">
        <f xml:space="preserve"> - 0.5*($AX20-$AY20)*SIN(2*$BG20) + $AZ20*COS(2*$BG20)</f>
        <v>218.46249560549657</v>
      </c>
      <c r="BY20" s="15">
        <f>AR20</f>
        <v>186.5379527262516</v>
      </c>
      <c r="BZ20" s="1">
        <f>0.5*($AS20+$AT20)+0.5*($AS20-$AT20)*COS(2*$BG20)</f>
        <v>427168.46220588055</v>
      </c>
      <c r="CA20" s="15">
        <f>0.5*($AS20+$AT20)-0.5*($AS20-$AT20)*COS(2*$BG20)</f>
        <v>378068.64426463272</v>
      </c>
      <c r="CB20" s="1">
        <f>$BC20*COS($BG20) + $BD20*SIN($BG20)</f>
        <v>1193.5922514819365</v>
      </c>
      <c r="CC20" s="15">
        <f xml:space="preserve"> - $BC20*SIN($BG20) + $BD20*COS($BG20)</f>
        <v>2688.8570283267031</v>
      </c>
      <c r="CD20" s="35">
        <f t="shared" si="27"/>
        <v>1.1779249999999999</v>
      </c>
      <c r="CF20" s="79">
        <f>$BS20*AF20</f>
        <v>41776.140533332233</v>
      </c>
      <c r="CG20" s="212">
        <f>$BS20*AE20</f>
        <v>84512.652113407748</v>
      </c>
      <c r="CH20" s="212">
        <f>BZ20*AD20</f>
        <v>1193.5086834032302</v>
      </c>
      <c r="CI20" s="80">
        <f>CA20*AC20</f>
        <v>2688.8241980100679</v>
      </c>
      <c r="CJ20" s="114"/>
      <c r="CK20" s="20">
        <f t="shared" si="51"/>
        <v>15</v>
      </c>
      <c r="CL20" s="18">
        <f t="shared" si="52"/>
        <v>16</v>
      </c>
      <c r="CN20" s="53">
        <v>15</v>
      </c>
      <c r="CO20" s="208">
        <v>1.2613000000000001</v>
      </c>
      <c r="CP20" s="244">
        <f t="shared" si="29"/>
        <v>0</v>
      </c>
      <c r="CQ20" s="244">
        <f t="shared" si="30"/>
        <v>0</v>
      </c>
      <c r="CR20" s="211">
        <f t="shared" si="31"/>
        <v>1.2830642987727099</v>
      </c>
      <c r="CS20" s="211">
        <f t="shared" si="32"/>
        <v>-2.4982796898985649E-3</v>
      </c>
      <c r="CT20" s="211">
        <f t="shared" si="33"/>
        <v>1.1743535146974311E-3</v>
      </c>
      <c r="CU20" s="211">
        <f t="shared" si="34"/>
        <v>1.4415944675758141E-5</v>
      </c>
      <c r="CV20" s="211">
        <f t="shared" si="35"/>
        <v>1.3598050068337687E-3</v>
      </c>
      <c r="CW20" s="211">
        <f t="shared" si="36"/>
        <v>8.767261299905913E-7</v>
      </c>
      <c r="CX20" s="211">
        <f t="shared" si="37"/>
        <v>17238929.742110338</v>
      </c>
      <c r="CY20" s="211">
        <f t="shared" si="38"/>
        <v>31086.157375432929</v>
      </c>
      <c r="CZ20" s="211">
        <f t="shared" si="39"/>
        <v>88565.924144660297</v>
      </c>
      <c r="DA20" s="211">
        <f t="shared" si="40"/>
        <v>218.1683615776497</v>
      </c>
      <c r="DB20" s="211">
        <f t="shared" si="41"/>
        <v>6821.9127384754647</v>
      </c>
      <c r="DC20" s="211">
        <f t="shared" si="42"/>
        <v>260.19373206026546</v>
      </c>
      <c r="DD20" s="211">
        <f t="shared" si="43"/>
        <v>143.91695587557757</v>
      </c>
      <c r="DE20" s="211">
        <f t="shared" si="44"/>
        <v>328483.48768778367</v>
      </c>
      <c r="DF20" s="211">
        <f t="shared" si="45"/>
        <v>290739.89902961976</v>
      </c>
      <c r="DG20" s="211">
        <f t="shared" si="46"/>
        <v>771.9276739646084</v>
      </c>
      <c r="DH20" s="211">
        <f t="shared" si="47"/>
        <v>1823.1946998850851</v>
      </c>
      <c r="DI20" s="203">
        <f t="shared" si="48"/>
        <v>1.2613000000000001</v>
      </c>
    </row>
    <row r="21" spans="1:113">
      <c r="A21" s="47">
        <f>NASA!BI22</f>
        <v>-1.0550622740056244</v>
      </c>
      <c r="B21">
        <f>NASA!BJ22</f>
        <v>0.13843</v>
      </c>
      <c r="C21">
        <f>NASA!BK22</f>
        <v>0</v>
      </c>
      <c r="D21" s="145">
        <f>NASA!BL22</f>
        <v>1.3062965999999998</v>
      </c>
      <c r="E21" s="144">
        <f>NASA!BM22</f>
        <v>1.316898643006851</v>
      </c>
      <c r="F21" s="144">
        <f>NASA!BN22</f>
        <v>16339800.733535333</v>
      </c>
      <c r="G21" s="144">
        <f>NASA!BO22</f>
        <v>120.91485756204207</v>
      </c>
      <c r="H21" s="146">
        <f>NASA!BP22</f>
        <v>5.5710666666666667E-3</v>
      </c>
      <c r="I21" s="146">
        <f>NASA!BQ22</f>
        <v>1.9896666666666665E-3</v>
      </c>
      <c r="J21" s="146">
        <f>NASA!BR22</f>
        <v>-4.0301333333333331E-3</v>
      </c>
      <c r="K21" s="146">
        <f>NASA!BS22</f>
        <v>1.0075333333333333E-3</v>
      </c>
      <c r="L21" s="146">
        <f>NASA!BT22</f>
        <v>5.5541333333333333E-3</v>
      </c>
      <c r="M21" s="146">
        <f>NASA!BU22</f>
        <v>1.5493999999999998E-3</v>
      </c>
      <c r="N21" s="194">
        <f>NASA!BV22</f>
        <v>128.32471900726026</v>
      </c>
      <c r="O21" s="144">
        <f>NASA!BW22</f>
        <v>6112.7052201063989</v>
      </c>
      <c r="P21" s="144">
        <f>NASA!BX22</f>
        <v>31.950603184906686</v>
      </c>
      <c r="Q21" s="144">
        <f>NASA!BY22</f>
        <v>1.0601594849798331E-5</v>
      </c>
      <c r="R21" s="144">
        <f>NASA!BZ22</f>
        <v>1.3522593710511999E-3</v>
      </c>
      <c r="S21" s="144">
        <f>NASA!CA22</f>
        <v>-6.271992477573E-6</v>
      </c>
      <c r="T21" s="4">
        <f>NASA!CB22</f>
        <v>16</v>
      </c>
      <c r="U21" s="159">
        <f t="shared" si="5"/>
        <v>6284538.7436674358</v>
      </c>
      <c r="V21" s="247">
        <v>316362.05013581598</v>
      </c>
      <c r="W21" s="248">
        <v>0.87</v>
      </c>
      <c r="X21" s="160">
        <v>0.77</v>
      </c>
      <c r="Y21" s="1"/>
      <c r="Z21" s="168">
        <f t="shared" si="6"/>
        <v>0</v>
      </c>
      <c r="AA21" s="156">
        <f t="shared" si="7"/>
        <v>-4.0301333333333331E-3</v>
      </c>
      <c r="AB21" s="1">
        <f t="shared" si="8"/>
        <v>1.0075333333333333E-3</v>
      </c>
      <c r="AC21" s="1">
        <f t="shared" si="0"/>
        <v>5.5710666666666667E-3</v>
      </c>
      <c r="AD21" s="1">
        <f t="shared" si="1"/>
        <v>1.9896666666666665E-3</v>
      </c>
      <c r="AE21" s="1">
        <f t="shared" si="2"/>
        <v>5.5541333333333333E-3</v>
      </c>
      <c r="AF21" s="15">
        <f t="shared" si="3"/>
        <v>1.5493999999999998E-3</v>
      </c>
      <c r="AH21" s="42">
        <f t="shared" si="4"/>
        <v>-1.0550622740056244</v>
      </c>
      <c r="AI21" s="42">
        <f t="shared" si="9"/>
        <v>-1.8414310494976726E-2</v>
      </c>
      <c r="AJ21" s="7">
        <f t="shared" si="10"/>
        <v>-4.0108980869334948E-3</v>
      </c>
      <c r="AK21" s="7">
        <f t="shared" si="11"/>
        <v>1.0815704500657594E-3</v>
      </c>
      <c r="AL21" s="7">
        <f t="shared" si="12"/>
        <v>5.6067584249059176E-3</v>
      </c>
      <c r="AM21" s="7">
        <f t="shared" si="13"/>
        <v>1.8867477874998024E-3</v>
      </c>
      <c r="AN21" s="7">
        <f t="shared" si="14"/>
        <v>5.5817212134928011E-3</v>
      </c>
      <c r="AO21" s="23">
        <f t="shared" si="15"/>
        <v>1.4468675610742325E-3</v>
      </c>
      <c r="AP21" s="24"/>
      <c r="AQ21" s="10"/>
      <c r="AR21" s="69">
        <f t="shared" si="16"/>
        <v>120.91485756204207</v>
      </c>
      <c r="AS21" s="180" cm="1">
        <f t="array" ref="AS21">W21 * _xlfn.IFS( $AT$4="P", $U21,  $AT$4="A", $V21)</f>
        <v>275234.98361815989</v>
      </c>
      <c r="AT21" s="180" cm="1">
        <f t="array" ref="AT21">X21 * _xlfn.IFS( $AT$4="P", $U21,  $AT$4="A", $V21)</f>
        <v>243598.77860457831</v>
      </c>
      <c r="AU21" s="183">
        <f t="shared" si="17"/>
        <v>1.2142095821777003E-5</v>
      </c>
      <c r="AV21" s="180">
        <f t="shared" si="18"/>
        <v>1.3734447191522739E-3</v>
      </c>
      <c r="AW21" s="15">
        <f t="shared" si="19"/>
        <v>-1.19847894581606E-5</v>
      </c>
      <c r="AX21" s="1">
        <f t="shared" si="20"/>
        <v>162.53087843769475</v>
      </c>
      <c r="AY21" s="1">
        <f t="shared" si="21"/>
        <v>6621.7817071000418</v>
      </c>
      <c r="AZ21" s="67">
        <f t="shared" si="22"/>
        <v>163.91101950885607</v>
      </c>
      <c r="BA21" s="1">
        <f t="shared" si="23"/>
        <v>23641.527635769224</v>
      </c>
      <c r="BB21" s="15">
        <f t="shared" si="24"/>
        <v>91204.212378619399</v>
      </c>
      <c r="BC21" s="1">
        <f t="shared" si="25"/>
        <v>519.29899638410757</v>
      </c>
      <c r="BD21" s="67">
        <f t="shared" si="26"/>
        <v>1365.7995042380107</v>
      </c>
      <c r="BF21" s="185">
        <f xml:space="preserve"> IF($BF$3=1, -A21, 0)</f>
        <v>1.0550622740056244</v>
      </c>
      <c r="BG21" s="34">
        <f t="shared" si="49"/>
        <v>1.8414310494976726E-2</v>
      </c>
      <c r="BH21" s="188">
        <v>16</v>
      </c>
      <c r="BI21" s="189">
        <f t="shared" si="50"/>
        <v>1.3062965999999998</v>
      </c>
      <c r="BJ21" s="192">
        <f>D21</f>
        <v>1.3062965999999998</v>
      </c>
      <c r="BK21" s="189">
        <f>C21</f>
        <v>0</v>
      </c>
      <c r="BL21" s="86">
        <v>0</v>
      </c>
      <c r="BM21" s="69">
        <f>E21</f>
        <v>1.316898643006851</v>
      </c>
      <c r="BN21" s="180">
        <f>AJ21</f>
        <v>-4.0108980869334948E-3</v>
      </c>
      <c r="BO21" s="69">
        <f>AK21</f>
        <v>1.0815704500657594E-3</v>
      </c>
      <c r="BP21" s="1">
        <f>0.5*($AU21+$AV21)+0.5*($AU21-$AV21)*COS(2*$BG21) + $AW21*SIN(2*$BG21)</f>
        <v>1.2162359945387167E-5</v>
      </c>
      <c r="BQ21" s="1">
        <f>0.5*($AU21+$AV21)-0.5*($AU21-$AV21)*COS(2*$BG21)-$AW21*SIN(2*$BG21)</f>
        <v>1.3734244550286639E-3</v>
      </c>
      <c r="BR21" s="15">
        <f xml:space="preserve"> - 0.5*($AU21-$AV21)*SIN(2*$BG21) + $AW21*COS(2*$BG21)</f>
        <v>1.3085120265081737E-5</v>
      </c>
      <c r="BS21" s="180">
        <f>F21</f>
        <v>16339800.733535333</v>
      </c>
      <c r="BT21" s="1">
        <f>$BA21*COS($BG21) + $BB21*SIN($BG21)</f>
        <v>25316.887256539645</v>
      </c>
      <c r="BU21" s="15">
        <f xml:space="preserve"> - $BA21*SIN($BG21) + $BB21*COS($BG21)</f>
        <v>90753.431914153043</v>
      </c>
      <c r="BV21" s="1">
        <f>0.5*($AX21+$AY21)+0.5*($AX21-$AY21)*COS(2*$BG21) + $AZ21*SIN(2*$BG21)</f>
        <v>170.75613006302183</v>
      </c>
      <c r="BW21" s="1">
        <f>0.5*($AX21+$AY21)-0.5*($AX21-$AY21)*COS(2*$BG21)-$AZ21*SIN(2*$BG21)</f>
        <v>6613.5564554747152</v>
      </c>
      <c r="BX21" s="15">
        <f xml:space="preserve"> - 0.5*($AX21-$AY21)*SIN(2*$BG21) + $AZ21*COS(2*$BG21)</f>
        <v>282.7156361593436</v>
      </c>
      <c r="BY21" s="15">
        <f>AR21</f>
        <v>120.91485756204207</v>
      </c>
      <c r="BZ21" s="1">
        <f>0.5*($AS21+$AT21)+0.5*($AS21-$AT21)*COS(2*$BG21)</f>
        <v>275224.25741011102</v>
      </c>
      <c r="CA21" s="15">
        <f>0.5*($AS21+$AT21)-0.5*($AS21-$AT21)*COS(2*$BG21)</f>
        <v>243609.50481262722</v>
      </c>
      <c r="CB21" s="1">
        <f>$BC21*COS($BG21) + $BD21*SIN($BG21)</f>
        <v>544.35978996201709</v>
      </c>
      <c r="CC21" s="15">
        <f xml:space="preserve"> - $BC21*SIN($BG21) + $BD21*COS($BG21)</f>
        <v>1356.0059559215977</v>
      </c>
      <c r="CD21" s="35">
        <f t="shared" si="27"/>
        <v>1.3062965999999998</v>
      </c>
      <c r="CF21" s="79">
        <f>$BS21*AF21</f>
        <v>25316.887256539641</v>
      </c>
      <c r="CG21" s="212">
        <f>$BS21*AE21</f>
        <v>90753.431914153043</v>
      </c>
      <c r="CH21" s="212">
        <f>BZ21*AD21</f>
        <v>547.60453082698416</v>
      </c>
      <c r="CI21" s="80">
        <f>CA21*AC21</f>
        <v>1357.1647919448003</v>
      </c>
      <c r="CJ21" s="114"/>
      <c r="CK21" s="20">
        <f t="shared" si="51"/>
        <v>16</v>
      </c>
      <c r="CL21" s="18">
        <f t="shared" si="52"/>
        <v>17</v>
      </c>
      <c r="CN21" s="53">
        <v>16</v>
      </c>
      <c r="CO21" s="208">
        <v>1.3448</v>
      </c>
      <c r="CP21" s="244">
        <f t="shared" si="29"/>
        <v>0</v>
      </c>
      <c r="CQ21" s="244">
        <f t="shared" si="30"/>
        <v>0</v>
      </c>
      <c r="CR21" s="211">
        <f t="shared" si="31"/>
        <v>1.4489193299347267</v>
      </c>
      <c r="CS21" s="211">
        <f t="shared" si="32"/>
        <v>-8.1200455650608343E-3</v>
      </c>
      <c r="CT21" s="211">
        <f t="shared" si="33"/>
        <v>8.189242049122643E-4</v>
      </c>
      <c r="CU21" s="211">
        <f t="shared" si="34"/>
        <v>8.7522508538671893E-6</v>
      </c>
      <c r="CV21" s="211">
        <f t="shared" si="35"/>
        <v>1.4384189178592117E-3</v>
      </c>
      <c r="CW21" s="211">
        <f t="shared" si="36"/>
        <v>2.1903706994012931E-5</v>
      </c>
      <c r="CX21" s="211">
        <f t="shared" si="37"/>
        <v>14054961.873543644</v>
      </c>
      <c r="CY21" s="211">
        <f t="shared" si="38"/>
        <v>13446.51665427545</v>
      </c>
      <c r="CZ21" s="211">
        <f t="shared" si="39"/>
        <v>91306.079904700207</v>
      </c>
      <c r="DA21" s="211">
        <f t="shared" si="40"/>
        <v>92.096166573349123</v>
      </c>
      <c r="DB21" s="211">
        <f t="shared" si="41"/>
        <v>6075.0994726281997</v>
      </c>
      <c r="DC21" s="211">
        <f t="shared" si="42"/>
        <v>238.14380700878371</v>
      </c>
      <c r="DD21" s="211">
        <f t="shared" si="43"/>
        <v>82.100150206068975</v>
      </c>
      <c r="DE21" s="211">
        <f t="shared" si="44"/>
        <v>179842.04809939186</v>
      </c>
      <c r="DF21" s="211">
        <f t="shared" si="45"/>
        <v>159192.64426205563</v>
      </c>
      <c r="DG21" s="211">
        <f t="shared" si="46"/>
        <v>285.53625638346085</v>
      </c>
      <c r="DH21" s="211">
        <f t="shared" si="47"/>
        <v>1220.7129095470477</v>
      </c>
      <c r="DI21" s="203">
        <f t="shared" si="48"/>
        <v>1.3448</v>
      </c>
    </row>
    <row r="22" spans="1:113">
      <c r="A22" s="47">
        <f>NASA!BI23</f>
        <v>-1.406599799398194</v>
      </c>
      <c r="B22">
        <f>NASA!BJ23</f>
        <v>0.13843</v>
      </c>
      <c r="C22">
        <f>NASA!BK23</f>
        <v>0</v>
      </c>
      <c r="D22" s="29">
        <f>NASA!BL23</f>
        <v>1.3485240999999999</v>
      </c>
      <c r="E22" s="1">
        <f>NASA!BM23</f>
        <v>1.4616885461646723</v>
      </c>
      <c r="F22" s="1">
        <f>NASA!BN23</f>
        <v>13833969.223582998</v>
      </c>
      <c r="G22" s="1">
        <f>NASA!BO23</f>
        <v>78.345940145025665</v>
      </c>
      <c r="H22" s="141">
        <f>NASA!BP23</f>
        <v>8.0009999999999994E-3</v>
      </c>
      <c r="I22" s="141">
        <f>NASA!BQ23</f>
        <v>1.5493999999999998E-3</v>
      </c>
      <c r="J22" s="141">
        <f>NASA!BR23</f>
        <v>-8.534400000000001E-3</v>
      </c>
      <c r="K22" s="141">
        <f>NASA!BS23</f>
        <v>5.842E-4</v>
      </c>
      <c r="L22" s="141">
        <f>NASA!BT23</f>
        <v>6.6039999999999996E-3</v>
      </c>
      <c r="M22" s="141">
        <f>NASA!BU23</f>
        <v>8.8900000000000003E-4</v>
      </c>
      <c r="N22">
        <f>NASA!BV23</f>
        <v>69.285935271844494</v>
      </c>
      <c r="O22" s="1">
        <f>NASA!BW23</f>
        <v>5423.9497023479307</v>
      </c>
      <c r="P22" s="1">
        <f>NASA!BX23</f>
        <v>21.236628464219415</v>
      </c>
      <c r="Q22" s="1">
        <f>NASA!BY23</f>
        <v>7.2506012329389994E-6</v>
      </c>
      <c r="R22" s="1">
        <f>NASA!BZ23</f>
        <v>1.3389147062052998E-3</v>
      </c>
      <c r="S22" s="1">
        <f>NASA!CA23</f>
        <v>-2.6377954178728998E-6</v>
      </c>
      <c r="T22" s="4">
        <f>NASA!CB23</f>
        <v>17</v>
      </c>
      <c r="U22" s="159">
        <f t="shared" si="5"/>
        <v>5320757.3936857684</v>
      </c>
      <c r="V22" s="247">
        <v>196124.56552457999</v>
      </c>
      <c r="W22" s="248">
        <v>0.87</v>
      </c>
      <c r="X22" s="160">
        <v>0.77</v>
      </c>
      <c r="Y22" s="1"/>
      <c r="Z22" s="168">
        <f t="shared" si="6"/>
        <v>0</v>
      </c>
      <c r="AA22" s="156">
        <f t="shared" si="7"/>
        <v>-8.534400000000001E-3</v>
      </c>
      <c r="AB22" s="1">
        <f t="shared" si="8"/>
        <v>5.842E-4</v>
      </c>
      <c r="AC22" s="1">
        <f t="shared" si="0"/>
        <v>8.0009999999999994E-3</v>
      </c>
      <c r="AD22" s="1">
        <f t="shared" si="1"/>
        <v>1.5493999999999998E-3</v>
      </c>
      <c r="AE22" s="1">
        <f t="shared" si="2"/>
        <v>6.6039999999999996E-3</v>
      </c>
      <c r="AF22" s="15">
        <f t="shared" si="3"/>
        <v>8.8900000000000003E-4</v>
      </c>
      <c r="AH22" s="42">
        <f t="shared" si="4"/>
        <v>-1.406599799398194</v>
      </c>
      <c r="AI22" s="42">
        <f t="shared" si="9"/>
        <v>-2.4549797757390239E-2</v>
      </c>
      <c r="AJ22" s="7">
        <f t="shared" si="10"/>
        <v>-8.5174877681725991E-3</v>
      </c>
      <c r="AK22" s="7">
        <f t="shared" si="11"/>
        <v>7.9352071115389232E-4</v>
      </c>
      <c r="AL22" s="7">
        <f t="shared" si="12"/>
        <v>8.0366226854111673E-3</v>
      </c>
      <c r="AM22" s="7">
        <f t="shared" si="13"/>
        <v>1.3525299155044918E-3</v>
      </c>
      <c r="AN22" s="7">
        <f t="shared" si="14"/>
        <v>6.6238325870844102E-3</v>
      </c>
      <c r="AO22" s="23">
        <f t="shared" si="15"/>
        <v>7.2662153716955471E-4</v>
      </c>
      <c r="AP22" s="24"/>
      <c r="AQ22" s="10"/>
      <c r="AR22" s="69">
        <f t="shared" si="16"/>
        <v>78.345940145025665</v>
      </c>
      <c r="AS22" s="180" cm="1">
        <f t="array" ref="AS22">W22 * _xlfn.IFS( $AT$4="P", $U22,  $AT$4="A", $V22)</f>
        <v>170628.3720063846</v>
      </c>
      <c r="AT22" s="180" cm="1">
        <f t="array" ref="AT22">X22 * _xlfn.IFS( $AT$4="P", $U22,  $AT$4="A", $V22)</f>
        <v>151015.9154539266</v>
      </c>
      <c r="AU22" s="183">
        <f t="shared" si="17"/>
        <v>8.170990142230289E-6</v>
      </c>
      <c r="AV22" s="180">
        <f t="shared" si="18"/>
        <v>1.444956699079674E-3</v>
      </c>
      <c r="AW22" s="15">
        <f t="shared" si="19"/>
        <v>-1.2517060277199216E-5</v>
      </c>
      <c r="AX22" s="1">
        <f t="shared" si="20"/>
        <v>76.589978547973786</v>
      </c>
      <c r="AY22" s="1">
        <f t="shared" si="21"/>
        <v>6030.9172897603412</v>
      </c>
      <c r="AZ22" s="67">
        <f t="shared" si="22"/>
        <v>87.819790942942433</v>
      </c>
      <c r="BA22" s="1">
        <f t="shared" si="23"/>
        <v>10052.059982396189</v>
      </c>
      <c r="BB22" s="15">
        <f t="shared" si="24"/>
        <v>91633.89615189188</v>
      </c>
      <c r="BC22" s="1">
        <f t="shared" si="25"/>
        <v>230.77997757246436</v>
      </c>
      <c r="BD22" s="67">
        <f t="shared" si="26"/>
        <v>1213.6579319951613</v>
      </c>
      <c r="BF22" s="185">
        <f xml:space="preserve"> IF($BF$3=1, -A22, 0)</f>
        <v>1.406599799398194</v>
      </c>
      <c r="BG22" s="34">
        <f t="shared" si="49"/>
        <v>2.4549797757390239E-2</v>
      </c>
      <c r="BH22" s="188">
        <v>17</v>
      </c>
      <c r="BI22" s="189">
        <f t="shared" si="50"/>
        <v>1.3485240999999999</v>
      </c>
      <c r="BJ22" s="192">
        <f>D22</f>
        <v>1.3485240999999999</v>
      </c>
      <c r="BK22" s="189">
        <f>C22</f>
        <v>0</v>
      </c>
      <c r="BL22" s="86">
        <v>0</v>
      </c>
      <c r="BM22" s="69">
        <f>E22</f>
        <v>1.4616885461646723</v>
      </c>
      <c r="BN22" s="180">
        <f>AJ22</f>
        <v>-8.5174877681725991E-3</v>
      </c>
      <c r="BO22" s="69">
        <f>AK22</f>
        <v>7.9352071115389232E-4</v>
      </c>
      <c r="BP22" s="1">
        <f>0.5*($AU22+$AV22)+0.5*($AU22-$AV22)*COS(2*$BG22) + $AW22*SIN(2*$BG22)</f>
        <v>8.4224205721848138E-6</v>
      </c>
      <c r="BQ22" s="1">
        <f>0.5*($AU22+$AV22)-0.5*($AU22-$AV22)*COS(2*$BG22)-$AW22*SIN(2*$BG22)</f>
        <v>1.4447052686497193E-3</v>
      </c>
      <c r="BR22" s="15">
        <f xml:space="preserve"> - 0.5*($AU22-$AV22)*SIN(2*$BG22) + $AW22*COS(2*$BG22)</f>
        <v>2.2756652417980988E-5</v>
      </c>
      <c r="BS22" s="180">
        <f>F22</f>
        <v>13833969.223582998</v>
      </c>
      <c r="BT22" s="1">
        <f>$BA22*COS($BG22) + $BB22*SIN($BG22)</f>
        <v>12298.398639765286</v>
      </c>
      <c r="BU22" s="15">
        <f xml:space="preserve"> - $BA22*SIN($BG22) + $BB22*COS($BG22)</f>
        <v>91359.532752542131</v>
      </c>
      <c r="BV22" s="1">
        <f>0.5*($AX22+$AY22)+0.5*($AX22-$AY22)*COS(2*$BG22) + $AZ22*SIN(2*$BG22)</f>
        <v>84.488070404390527</v>
      </c>
      <c r="BW22" s="1">
        <f>0.5*($AX22+$AY22)-0.5*($AX22-$AY22)*COS(2*$BG22)-$AZ22*SIN(2*$BG22)</f>
        <v>6023.0191979039246</v>
      </c>
      <c r="BX22" s="15">
        <f xml:space="preserve"> - 0.5*($AX22-$AY22)*SIN(2*$BG22) + $AZ22*COS(2*$BG22)</f>
        <v>233.83276047939682</v>
      </c>
      <c r="BY22" s="15">
        <f>AR22</f>
        <v>78.345940145025665</v>
      </c>
      <c r="BZ22" s="1">
        <f>0.5*($AS22+$AT22)+0.5*($AS22-$AT22)*COS(2*$BG22)</f>
        <v>170616.55409901691</v>
      </c>
      <c r="CA22" s="15">
        <f>0.5*($AS22+$AT22)-0.5*($AS22-$AT22)*COS(2*$BG22)</f>
        <v>151027.73336129429</v>
      </c>
      <c r="CB22" s="1">
        <f>$BC22*COS($BG22) + $BD22*SIN($BG22)</f>
        <v>260.50250036711242</v>
      </c>
      <c r="CC22" s="15">
        <f xml:space="preserve"> - $BC22*SIN($BG22) + $BD22*COS($BG22)</f>
        <v>1207.6271863640704</v>
      </c>
      <c r="CD22" s="35">
        <f t="shared" si="27"/>
        <v>1.3485240999999999</v>
      </c>
      <c r="CF22" s="79">
        <f>$BS22*AF22</f>
        <v>12298.398639765286</v>
      </c>
      <c r="CG22" s="212">
        <f>$BS22*AE22</f>
        <v>91359.532752542116</v>
      </c>
      <c r="CH22" s="212">
        <f>BZ22*AD22</f>
        <v>264.35328892101677</v>
      </c>
      <c r="CI22" s="80">
        <f>CA22*AC22</f>
        <v>1208.3728946237154</v>
      </c>
      <c r="CJ22" s="114"/>
      <c r="CK22" s="20">
        <f t="shared" si="51"/>
        <v>17</v>
      </c>
      <c r="CL22" s="18">
        <f t="shared" si="52"/>
        <v>18</v>
      </c>
      <c r="CN22" s="53">
        <v>17</v>
      </c>
      <c r="CO22" s="208">
        <v>1.4292</v>
      </c>
      <c r="CP22" s="244">
        <f t="shared" si="29"/>
        <v>0</v>
      </c>
      <c r="CQ22" s="244">
        <f t="shared" si="30"/>
        <v>0</v>
      </c>
      <c r="CR22" s="211">
        <f t="shared" si="31"/>
        <v>1.2792319464847908</v>
      </c>
      <c r="CS22" s="211">
        <f t="shared" si="32"/>
        <v>-4.533017083740278E-3</v>
      </c>
      <c r="CT22" s="211">
        <f t="shared" si="33"/>
        <v>9.6952338028980694E-4</v>
      </c>
      <c r="CU22" s="211">
        <f t="shared" si="34"/>
        <v>9.9189083631397951E-6</v>
      </c>
      <c r="CV22" s="211">
        <f t="shared" si="35"/>
        <v>1.3183225268815369E-3</v>
      </c>
      <c r="CW22" s="211">
        <f t="shared" si="36"/>
        <v>4.848138558146232E-5</v>
      </c>
      <c r="CX22" s="211">
        <f t="shared" si="37"/>
        <v>13833969.223582998</v>
      </c>
      <c r="CY22" s="211">
        <f t="shared" si="38"/>
        <v>12298.398639765284</v>
      </c>
      <c r="CZ22" s="211">
        <f t="shared" si="39"/>
        <v>91586.329728295997</v>
      </c>
      <c r="DA22" s="211">
        <f t="shared" si="40"/>
        <v>89.396798227126041</v>
      </c>
      <c r="DB22" s="211">
        <f t="shared" si="41"/>
        <v>6039.7366099443143</v>
      </c>
      <c r="DC22" s="211">
        <f t="shared" si="42"/>
        <v>298.09670275147062</v>
      </c>
      <c r="DD22" s="211">
        <f t="shared" si="43"/>
        <v>78.345940145025665</v>
      </c>
      <c r="DE22" s="211">
        <f t="shared" si="44"/>
        <v>170018.010628121</v>
      </c>
      <c r="DF22" s="211">
        <f t="shared" si="45"/>
        <v>150526.8317893419</v>
      </c>
      <c r="DG22" s="211">
        <f t="shared" si="46"/>
        <v>254.9561891521127</v>
      </c>
      <c r="DH22" s="211">
        <f t="shared" si="47"/>
        <v>1208.2091660079498</v>
      </c>
      <c r="DI22" s="203">
        <f t="shared" si="48"/>
        <v>1.4292</v>
      </c>
    </row>
    <row r="23" spans="1:113">
      <c r="A23" s="47">
        <f>NASA!BI24</f>
        <v>-2.445717151454363</v>
      </c>
      <c r="B23">
        <f>NASA!BJ24</f>
        <v>0.13843</v>
      </c>
      <c r="C23">
        <f>NASA!BK24</f>
        <v>0</v>
      </c>
      <c r="D23" s="29">
        <f>NASA!BL24</f>
        <v>1.4735175</v>
      </c>
      <c r="E23" s="1">
        <f>NASA!BM24</f>
        <v>1.1790034971422592</v>
      </c>
      <c r="F23" s="1">
        <f>NASA!BN24</f>
        <v>13833969.223582998</v>
      </c>
      <c r="G23" s="1">
        <f>NASA!BO24</f>
        <v>78.345940145025665</v>
      </c>
      <c r="H23" s="141">
        <f>NASA!BP24</f>
        <v>8.0517999999999996E-3</v>
      </c>
      <c r="I23" s="141">
        <f>NASA!BQ24</f>
        <v>1.524E-3</v>
      </c>
      <c r="J23" s="141">
        <f>NASA!BR24</f>
        <v>-2.3875999999999997E-3</v>
      </c>
      <c r="K23" s="141">
        <f>NASA!BS24</f>
        <v>9.6519999999999993E-4</v>
      </c>
      <c r="L23" s="141">
        <f>NASA!BT24</f>
        <v>6.6293999999999997E-3</v>
      </c>
      <c r="M23" s="141">
        <f>NASA!BU24</f>
        <v>8.8900000000000003E-4</v>
      </c>
      <c r="N23">
        <f>NASA!BV24</f>
        <v>69.443775077997486</v>
      </c>
      <c r="O23" s="1">
        <f>NASA!BW24</f>
        <v>5452.6478489212004</v>
      </c>
      <c r="P23" s="1">
        <f>NASA!BX24</f>
        <v>22.441950620296733</v>
      </c>
      <c r="Q23" s="1">
        <f>NASA!BY24</f>
        <v>6.3164746937259996E-6</v>
      </c>
      <c r="R23" s="1">
        <f>NASA!BZ24</f>
        <v>1.2455020522839997E-3</v>
      </c>
      <c r="S23" s="1">
        <f>NASA!CA24</f>
        <v>1.2543984955146E-5</v>
      </c>
      <c r="T23" s="4">
        <f>NASA!CB24</f>
        <v>18</v>
      </c>
      <c r="U23" s="159">
        <f t="shared" si="5"/>
        <v>5320757.3936857684</v>
      </c>
      <c r="V23" s="247">
        <v>195085.906640634</v>
      </c>
      <c r="W23" s="248">
        <v>0.87</v>
      </c>
      <c r="X23" s="160">
        <v>0.77</v>
      </c>
      <c r="Y23" s="1"/>
      <c r="Z23" s="168">
        <f t="shared" si="6"/>
        <v>0</v>
      </c>
      <c r="AA23" s="156">
        <f t="shared" si="7"/>
        <v>-2.3875999999999997E-3</v>
      </c>
      <c r="AB23" s="1">
        <f t="shared" si="8"/>
        <v>9.6519999999999993E-4</v>
      </c>
      <c r="AC23" s="1">
        <f t="shared" si="0"/>
        <v>8.0517999999999996E-3</v>
      </c>
      <c r="AD23" s="1">
        <f t="shared" si="1"/>
        <v>1.524E-3</v>
      </c>
      <c r="AE23" s="1">
        <f t="shared" si="2"/>
        <v>6.6293999999999997E-3</v>
      </c>
      <c r="AF23" s="15">
        <f t="shared" si="3"/>
        <v>8.8900000000000003E-4</v>
      </c>
      <c r="AH23" s="42">
        <f t="shared" si="4"/>
        <v>-2.445717151454363</v>
      </c>
      <c r="AI23" s="42">
        <f t="shared" si="9"/>
        <v>-4.268581686537546E-2</v>
      </c>
      <c r="AJ23" s="7">
        <f t="shared" si="10"/>
        <v>-2.3442372925346119E-3</v>
      </c>
      <c r="AK23" s="7">
        <f t="shared" si="11"/>
        <v>1.0662065073380443E-3</v>
      </c>
      <c r="AL23" s="7">
        <f t="shared" si="12"/>
        <v>8.1094990374268594E-3</v>
      </c>
      <c r="AM23" s="7">
        <f t="shared" si="13"/>
        <v>1.1790184909376308E-3</v>
      </c>
      <c r="AN23" s="7">
        <f t="shared" si="14"/>
        <v>6.6612974401647883E-3</v>
      </c>
      <c r="AO23" s="23">
        <f t="shared" si="15"/>
        <v>6.052947824440833E-4</v>
      </c>
      <c r="AP23" s="24"/>
      <c r="AQ23" s="10"/>
      <c r="AR23" s="69">
        <f t="shared" si="16"/>
        <v>78.345940145025665</v>
      </c>
      <c r="AS23" s="180" cm="1">
        <f t="array" ref="AS23">W23 * _xlfn.IFS( $AT$4="P", $U23,  $AT$4="A", $V23)</f>
        <v>169724.73877735157</v>
      </c>
      <c r="AT23" s="180" cm="1">
        <f t="array" ref="AT23">X23 * _xlfn.IFS( $AT$4="P", $U23,  $AT$4="A", $V23)</f>
        <v>150216.14811328819</v>
      </c>
      <c r="AU23" s="183">
        <f t="shared" si="17"/>
        <v>7.6567615261703372E-6</v>
      </c>
      <c r="AV23" s="180">
        <f t="shared" si="18"/>
        <v>1.2519812052646589E-3</v>
      </c>
      <c r="AW23" s="15">
        <f t="shared" si="19"/>
        <v>9.5971352091680955E-6</v>
      </c>
      <c r="AX23" s="1">
        <f t="shared" si="20"/>
        <v>74.512289258809091</v>
      </c>
      <c r="AY23" s="1">
        <f t="shared" si="21"/>
        <v>6066.5009548163416</v>
      </c>
      <c r="AZ23" s="67">
        <f t="shared" si="22"/>
        <v>78.221186650962949</v>
      </c>
      <c r="BA23" s="1">
        <f t="shared" si="23"/>
        <v>8373.6293915268143</v>
      </c>
      <c r="BB23" s="15">
        <f t="shared" si="24"/>
        <v>92152.183776371894</v>
      </c>
      <c r="BC23" s="1">
        <f t="shared" si="25"/>
        <v>200.10860538805665</v>
      </c>
      <c r="BD23" s="67">
        <f t="shared" si="26"/>
        <v>1218.177708530681</v>
      </c>
      <c r="BF23" s="185">
        <f xml:space="preserve"> IF($BF$3=1, -A23, 0)</f>
        <v>2.445717151454363</v>
      </c>
      <c r="BG23" s="34">
        <f t="shared" si="49"/>
        <v>4.268581686537546E-2</v>
      </c>
      <c r="BH23" s="188">
        <v>18</v>
      </c>
      <c r="BI23" s="189">
        <f t="shared" si="50"/>
        <v>1.4735175</v>
      </c>
      <c r="BJ23" s="192">
        <f>D23</f>
        <v>1.4735175</v>
      </c>
      <c r="BK23" s="189">
        <f>C23</f>
        <v>0</v>
      </c>
      <c r="BL23" s="86">
        <v>0</v>
      </c>
      <c r="BM23" s="69">
        <f>E23</f>
        <v>1.1790034971422592</v>
      </c>
      <c r="BN23" s="180">
        <f>AJ23</f>
        <v>-2.3442372925346119E-3</v>
      </c>
      <c r="BO23" s="69">
        <f>AK23</f>
        <v>1.0662065073380443E-3</v>
      </c>
      <c r="BP23" s="1">
        <f>0.5*($AU23+$AV23)+0.5*($AU23-$AV23)*COS(2*$BG23) + $AW23*SIN(2*$BG23)</f>
        <v>1.0740970437137697E-5</v>
      </c>
      <c r="BQ23" s="1">
        <f>0.5*($AU23+$AV23)-0.5*($AU23-$AV23)*COS(2*$BG23)-$AW23*SIN(2*$BG23)</f>
        <v>1.2488969963536914E-3</v>
      </c>
      <c r="BR23" s="15">
        <f xml:space="preserve"> - 0.5*($AU23-$AV23)*SIN(2*$BG23) + $AW23*COS(2*$BG23)</f>
        <v>6.2612691981175027E-5</v>
      </c>
      <c r="BS23" s="180">
        <f>F23</f>
        <v>13833969.223582998</v>
      </c>
      <c r="BT23" s="1">
        <f>$BA23*COS($BG23) + $BB23*SIN($BG23)</f>
        <v>12298.398639765284</v>
      </c>
      <c r="BU23" s="15">
        <f xml:space="preserve"> - $BA23*SIN($BG23) + $BB23*COS($BG23)</f>
        <v>91710.915570821118</v>
      </c>
      <c r="BV23" s="1">
        <f>0.5*($AX23+$AY23)+0.5*($AX23-$AY23)*COS(2*$BG23) + $AZ23*SIN(2*$BG23)</f>
        <v>92.093297990798717</v>
      </c>
      <c r="BW23" s="1">
        <f>0.5*($AX23+$AY23)-0.5*($AX23-$AY23)*COS(2*$BG23)-$AZ23*SIN(2*$BG23)</f>
        <v>6048.9199460843511</v>
      </c>
      <c r="BX23" s="15">
        <f xml:space="preserve"> - 0.5*($AX23-$AY23)*SIN(2*$BG23) + $AZ23*COS(2*$BG23)</f>
        <v>333.39866110139451</v>
      </c>
      <c r="BY23" s="15">
        <f>AR23</f>
        <v>78.345940145025665</v>
      </c>
      <c r="BZ23" s="1">
        <f>0.5*($AS23+$AT23)+0.5*($AS23-$AT23)*COS(2*$BG23)</f>
        <v>169689.21416881369</v>
      </c>
      <c r="CA23" s="15">
        <f>0.5*($AS23+$AT23)-0.5*($AS23-$AT23)*COS(2*$BG23)</f>
        <v>150251.67272182609</v>
      </c>
      <c r="CB23" s="1">
        <f>$BC23*COS($BG23) + $BD23*SIN($BG23)</f>
        <v>251.90944722210946</v>
      </c>
      <c r="CC23" s="15">
        <f xml:space="preserve"> - $BC23*SIN($BG23) + $BD23*COS($BG23)</f>
        <v>1208.5288634996125</v>
      </c>
      <c r="CD23" s="35">
        <f t="shared" si="27"/>
        <v>1.4735175</v>
      </c>
      <c r="CF23" s="79">
        <f>$BS23*AF23</f>
        <v>12298.398639765286</v>
      </c>
      <c r="CG23" s="212">
        <f>$BS23*AE23</f>
        <v>91710.915570821118</v>
      </c>
      <c r="CH23" s="212">
        <f>BZ23*AD23</f>
        <v>258.60636239327204</v>
      </c>
      <c r="CI23" s="80">
        <f>CA23*AC23</f>
        <v>1209.7964184215994</v>
      </c>
      <c r="CJ23" s="114"/>
      <c r="CK23" s="20">
        <f t="shared" si="51"/>
        <v>20</v>
      </c>
      <c r="CL23" s="18">
        <f t="shared" si="52"/>
        <v>21</v>
      </c>
      <c r="CN23" s="53">
        <v>18</v>
      </c>
      <c r="CO23" s="208">
        <v>1.482</v>
      </c>
      <c r="CP23" s="244">
        <f t="shared" si="29"/>
        <v>0</v>
      </c>
      <c r="CQ23" s="244">
        <f t="shared" si="30"/>
        <v>0</v>
      </c>
      <c r="CR23" s="211">
        <f t="shared" si="31"/>
        <v>1.2000401740776856</v>
      </c>
      <c r="CS23" s="211">
        <f t="shared" si="32"/>
        <v>-1.7425580650707218E-3</v>
      </c>
      <c r="CT23" s="211">
        <f t="shared" si="33"/>
        <v>5.3503309420411724E-4</v>
      </c>
      <c r="CU23" s="211">
        <f t="shared" si="34"/>
        <v>8.7090800948928043E-6</v>
      </c>
      <c r="CV23" s="211">
        <f t="shared" si="35"/>
        <v>1.2623428560719142E-3</v>
      </c>
      <c r="CW23" s="211">
        <f t="shared" si="36"/>
        <v>4.1223938249966959E-5</v>
      </c>
      <c r="CX23" s="211">
        <f t="shared" si="37"/>
        <v>13878613.8380544</v>
      </c>
      <c r="CY23" s="211">
        <f t="shared" si="38"/>
        <v>12339.378801141302</v>
      </c>
      <c r="CZ23" s="211">
        <f t="shared" si="39"/>
        <v>92015.920271774405</v>
      </c>
      <c r="DA23" s="211">
        <f t="shared" si="40"/>
        <v>92.924600605738817</v>
      </c>
      <c r="DB23" s="211">
        <f t="shared" si="41"/>
        <v>6051.0083568361106</v>
      </c>
      <c r="DC23" s="211">
        <f t="shared" si="42"/>
        <v>339.04075216725471</v>
      </c>
      <c r="DD23" s="211">
        <f t="shared" si="43"/>
        <v>79.21002772919671</v>
      </c>
      <c r="DE23" s="211">
        <f t="shared" si="44"/>
        <v>171695.12268481535</v>
      </c>
      <c r="DF23" s="211">
        <f t="shared" si="45"/>
        <v>152031.77071000138</v>
      </c>
      <c r="DG23" s="211">
        <f t="shared" si="46"/>
        <v>258.88869128294493</v>
      </c>
      <c r="DH23" s="211">
        <f t="shared" si="47"/>
        <v>1265.4877141292075</v>
      </c>
      <c r="DI23" s="203">
        <f t="shared" si="48"/>
        <v>1.482</v>
      </c>
    </row>
    <row r="24" spans="1:113">
      <c r="A24" s="47">
        <f>NASA!BI25</f>
        <v>-2.3755065195586762</v>
      </c>
      <c r="B24">
        <f>NASA!BJ25</f>
        <v>0.13843</v>
      </c>
      <c r="C24">
        <f>NASA!BK25</f>
        <v>0</v>
      </c>
      <c r="D24" s="29">
        <f>NASA!BL25</f>
        <v>1.4650719999999999</v>
      </c>
      <c r="E24" s="1">
        <f>NASA!BM25</f>
        <v>1.268635341954244</v>
      </c>
      <c r="F24" s="1">
        <f>NASA!BN25</f>
        <v>13922933.655888999</v>
      </c>
      <c r="G24" s="1">
        <f>NASA!BO25</f>
        <v>78.919903076491053</v>
      </c>
      <c r="H24" s="141">
        <f>NASA!BP25</f>
        <v>8.2042E-3</v>
      </c>
      <c r="I24" s="141">
        <f>NASA!BQ25</f>
        <v>1.397E-3</v>
      </c>
      <c r="J24" s="141">
        <f>NASA!BR25</f>
        <v>6.3500000000000004E-4</v>
      </c>
      <c r="K24" s="141">
        <f>NASA!BS25</f>
        <v>7.3660000000000002E-4</v>
      </c>
      <c r="L24" s="141">
        <f>NASA!BT25</f>
        <v>6.7818000000000002E-3</v>
      </c>
      <c r="M24" s="141">
        <f>NASA!BU25</f>
        <v>8.6360000000000007E-4</v>
      </c>
      <c r="N24">
        <f>NASA!BV25</f>
        <v>70.100962634525345</v>
      </c>
      <c r="O24" s="1">
        <f>NASA!BW25</f>
        <v>5538.7422886410086</v>
      </c>
      <c r="P24" s="1">
        <f>NASA!BX25</f>
        <v>28.038089202084279</v>
      </c>
      <c r="Q24" s="1">
        <f>NASA!BY25</f>
        <v>7.3395656652449995E-6</v>
      </c>
      <c r="R24" s="1">
        <f>NASA!BZ25</f>
        <v>1.4323273601265999E-3</v>
      </c>
      <c r="S24" s="1">
        <f>NASA!CA25</f>
        <v>2.3531092344936997E-5</v>
      </c>
      <c r="T24" s="4">
        <f>NASA!CB25</f>
        <v>19</v>
      </c>
      <c r="U24" s="159">
        <f t="shared" si="5"/>
        <v>5354974.4830342298</v>
      </c>
      <c r="V24" s="247">
        <v>194789.15922337401</v>
      </c>
      <c r="W24" s="248">
        <v>0.87</v>
      </c>
      <c r="X24" s="160">
        <v>0.77</v>
      </c>
      <c r="Y24" s="1"/>
      <c r="Z24" s="168">
        <f t="shared" si="6"/>
        <v>0</v>
      </c>
      <c r="AA24" s="156">
        <f t="shared" si="7"/>
        <v>6.3500000000000004E-4</v>
      </c>
      <c r="AB24" s="1">
        <f t="shared" si="8"/>
        <v>7.3660000000000002E-4</v>
      </c>
      <c r="AC24" s="1">
        <f t="shared" si="0"/>
        <v>8.2042E-3</v>
      </c>
      <c r="AD24" s="1">
        <f t="shared" si="1"/>
        <v>1.397E-3</v>
      </c>
      <c r="AE24" s="1">
        <f t="shared" si="2"/>
        <v>6.7818000000000002E-3</v>
      </c>
      <c r="AF24" s="15">
        <f t="shared" si="3"/>
        <v>8.6360000000000007E-4</v>
      </c>
      <c r="AH24" s="42">
        <f t="shared" si="4"/>
        <v>-2.3755065195586762</v>
      </c>
      <c r="AI24" s="42">
        <f t="shared" si="9"/>
        <v>-4.1460410168889975E-2</v>
      </c>
      <c r="AJ24" s="7">
        <f t="shared" si="10"/>
        <v>6.6498529601656162E-4</v>
      </c>
      <c r="AK24" s="7">
        <f t="shared" si="11"/>
        <v>7.0964717718156672E-4</v>
      </c>
      <c r="AL24" s="7">
        <f t="shared" si="12"/>
        <v>8.2550532418248519E-3</v>
      </c>
      <c r="AM24" s="7">
        <f t="shared" si="13"/>
        <v>1.0557474199054501E-3</v>
      </c>
      <c r="AN24" s="7">
        <f t="shared" si="14"/>
        <v>6.8117669475412134E-3</v>
      </c>
      <c r="AO24" s="23">
        <f t="shared" si="15"/>
        <v>5.8176219573384969E-4</v>
      </c>
      <c r="AQ24" s="10"/>
      <c r="AR24" s="69">
        <f t="shared" si="16"/>
        <v>78.919903076491053</v>
      </c>
      <c r="AS24" s="180" cm="1">
        <f t="array" ref="AS24">W24 * _xlfn.IFS( $AT$4="P", $U24,  $AT$4="A", $V24)</f>
        <v>169466.56852433539</v>
      </c>
      <c r="AT24" s="180" cm="1">
        <f t="array" ref="AT24">X24 * _xlfn.IFS( $AT$4="P", $U24,  $AT$4="A", $V24)</f>
        <v>149987.65260199798</v>
      </c>
      <c r="AU24" s="183">
        <f t="shared" si="17"/>
        <v>7.9784493020832456E-6</v>
      </c>
      <c r="AV24" s="180">
        <f t="shared" si="18"/>
        <v>1.4328883575811591E-3</v>
      </c>
      <c r="AW24" s="15">
        <f t="shared" si="19"/>
        <v>2.412976762756173E-5</v>
      </c>
      <c r="AX24" s="1">
        <f t="shared" si="20"/>
        <v>74.813141275500598</v>
      </c>
      <c r="AY24" s="1">
        <f t="shared" si="21"/>
        <v>6184.7687625206927</v>
      </c>
      <c r="AZ24" s="67">
        <f t="shared" si="22"/>
        <v>83.212287444744774</v>
      </c>
      <c r="BA24" s="1">
        <f t="shared" si="23"/>
        <v>8099.8364547066994</v>
      </c>
      <c r="BB24" s="15">
        <f t="shared" si="24"/>
        <v>94839.779289993836</v>
      </c>
      <c r="BC24" s="1">
        <f t="shared" si="25"/>
        <v>178.91389247979725</v>
      </c>
      <c r="BD24" s="67">
        <f t="shared" si="26"/>
        <v>1238.1560578458232</v>
      </c>
      <c r="BF24" s="185">
        <f xml:space="preserve"> IF($BF$3=1, -A24, 0)</f>
        <v>2.3755065195586762</v>
      </c>
      <c r="BG24" s="34">
        <f t="shared" ref="BG24:BG29" si="53">RADIANS(BF24)</f>
        <v>4.1460410168889975E-2</v>
      </c>
      <c r="BH24" s="188">
        <v>19</v>
      </c>
      <c r="BI24" s="189">
        <f t="shared" si="50"/>
        <v>1.4819630000000001</v>
      </c>
      <c r="BJ24" s="192">
        <f>D24</f>
        <v>1.4650719999999999</v>
      </c>
      <c r="BK24" s="189">
        <f>C24</f>
        <v>0</v>
      </c>
      <c r="BL24" s="86">
        <v>0</v>
      </c>
      <c r="BM24" s="69">
        <f>E24</f>
        <v>1.268635341954244</v>
      </c>
      <c r="BN24" s="180">
        <f>AJ24</f>
        <v>6.6498529601656162E-4</v>
      </c>
      <c r="BO24" s="69">
        <f>AK24</f>
        <v>7.0964717718156672E-4</v>
      </c>
      <c r="BP24" s="1">
        <f>0.5*($AU24+$AV24)+0.5*($AU24-$AV24)*COS(2*$BG24) + $AW24*SIN(2*$BG24)</f>
        <v>1.2424985268336759E-5</v>
      </c>
      <c r="BQ24" s="1">
        <f>0.5*($AU24+$AV24)-0.5*($AU24-$AV24)*COS(2*$BG24)-$AW24*SIN(2*$BG24)</f>
        <v>1.4284418216149056E-3</v>
      </c>
      <c r="BR24" s="15">
        <f xml:space="preserve"> - 0.5*($AU24-$AV24)*SIN(2*$BG24) + $AW24*COS(2*$BG24)</f>
        <v>8.3056529902801298E-5</v>
      </c>
      <c r="BS24" s="180">
        <f>F24</f>
        <v>13922933.655888999</v>
      </c>
      <c r="BT24" s="1">
        <f>$BA24*COS($BG24) + $BB24*SIN($BG24)</f>
        <v>12023.845505225743</v>
      </c>
      <c r="BU24" s="15">
        <f xml:space="preserve"> - $BA24*SIN($BG24) + $BB24*COS($BG24)</f>
        <v>94422.551467508019</v>
      </c>
      <c r="BV24" s="1">
        <f>0.5*($AX24+$AY24)+0.5*($AX24-$AY24)*COS(2*$BG24) + $AZ24*SIN(2*$BG24)</f>
        <v>92.202054846118614</v>
      </c>
      <c r="BW24" s="1">
        <f>0.5*($AX24+$AY24)-0.5*($AX24-$AY24)*COS(2*$BG24)-$AZ24*SIN(2*$BG24)</f>
        <v>6167.3798489500759</v>
      </c>
      <c r="BX24" s="15">
        <f xml:space="preserve"> - 0.5*($AX24-$AY24)*SIN(2*$BG24) + $AZ24*COS(2*$BG24)</f>
        <v>335.95743879956217</v>
      </c>
      <c r="BY24" s="15">
        <f>AR24</f>
        <v>78.919903076491053</v>
      </c>
      <c r="BZ24" s="1">
        <f>0.5*($AS24+$AT24)+0.5*($AS24-$AT24)*COS(2*$BG24)</f>
        <v>169433.10411903265</v>
      </c>
      <c r="CA24" s="15">
        <f>0.5*($AS24+$AT24)-0.5*($AS24-$AT24)*COS(2*$BG24)</f>
        <v>150021.11700730069</v>
      </c>
      <c r="CB24" s="1">
        <f>$BC24*COS($BG24) + $BD24*SIN($BG24)</f>
        <v>230.079893339227</v>
      </c>
      <c r="CC24" s="15">
        <f xml:space="preserve"> - $BC24*SIN($BG24) + $BD24*COS($BG24)</f>
        <v>1229.6763180543048</v>
      </c>
      <c r="CD24" s="35">
        <f t="shared" si="27"/>
        <v>1.4650719999999999</v>
      </c>
      <c r="CF24" s="79">
        <f>$BS24*AF24</f>
        <v>12023.84550522574</v>
      </c>
      <c r="CG24" s="212">
        <f>$BS24*AE24</f>
        <v>94422.551467508019</v>
      </c>
      <c r="CH24" s="212">
        <f>BZ24*AD24</f>
        <v>236.69804645428863</v>
      </c>
      <c r="CI24" s="80">
        <f>CA24*AC24</f>
        <v>1230.8032481512964</v>
      </c>
      <c r="CJ24" s="114"/>
      <c r="CK24" s="20">
        <f t="shared" si="51"/>
        <v>21</v>
      </c>
      <c r="CL24" s="18">
        <f t="shared" si="52"/>
        <v>22</v>
      </c>
      <c r="CN24" s="53">
        <v>19</v>
      </c>
      <c r="CO24" s="208">
        <v>1.5161</v>
      </c>
      <c r="CP24" s="245">
        <v>0</v>
      </c>
      <c r="CQ24" s="244">
        <f t="shared" ref="CQ24:CZ27" si="54">_xlfn.LET(
    _xlpm.r, $CO24,
    _xlpm.rp, _xlfn.XLOOKUP($CK24,$BH$6:$BH$195, $BJ$6:$BJ$195, , -1),
    _xlpm.rn, _xlfn.XLOOKUP($CL24,$BH$6:$BH$195, $BJ$6:$BJ$195, , -1),
    _xlpm.xp, _xlfn.XLOOKUP($CK24,$BH$6:$BH$195, BL$6:BL$195, , -1),
    _xlpm.xn, _xlfn.XLOOKUP($CL24,$BH$6:$BH$195, BL$6:BL$195, , -1),
    (_xlpm.r - _xlpm.rp)/(_xlpm.rn - _xlpm.rp)*(_xlpm.xn - _xlpm.xp) + _xlpm.xp
)</f>
        <v>0</v>
      </c>
      <c r="CR24" s="211">
        <f t="shared" si="54"/>
        <v>1.0598026820632047</v>
      </c>
      <c r="CS24" s="211">
        <f t="shared" si="54"/>
        <v>3.9091937915035103E-3</v>
      </c>
      <c r="CT24" s="211">
        <f t="shared" si="54"/>
        <v>4.3307636108691017E-4</v>
      </c>
      <c r="CU24" s="211">
        <f t="shared" si="54"/>
        <v>7.9254360412785605E-6</v>
      </c>
      <c r="CV24" s="211">
        <f t="shared" si="54"/>
        <v>1.2016793447934503E-3</v>
      </c>
      <c r="CW24" s="211">
        <f t="shared" si="54"/>
        <v>3.965657500243518E-5</v>
      </c>
      <c r="CX24" s="211">
        <f t="shared" si="54"/>
        <v>11769111.766538538</v>
      </c>
      <c r="CY24" s="211">
        <f t="shared" si="54"/>
        <v>10282.245581751797</v>
      </c>
      <c r="CZ24" s="211">
        <f t="shared" si="54"/>
        <v>81264.035475472963</v>
      </c>
      <c r="DA24" s="211">
        <f t="shared" ref="DA24:DI27" si="55">_xlfn.LET(
    _xlpm.r, $CO24,
    _xlpm.rp, _xlfn.XLOOKUP($CK24,$BH$6:$BH$195, $BJ$6:$BJ$195, , -1),
    _xlpm.rn, _xlfn.XLOOKUP($CL24,$BH$6:$BH$195, $BJ$6:$BJ$195, , -1),
    _xlpm.xp, _xlfn.XLOOKUP($CK24,$BH$6:$BH$195, BV$6:BV$195, , -1),
    _xlpm.xn, _xlfn.XLOOKUP($CL24,$BH$6:$BH$195, BV$6:BV$195, , -1),
    (_xlpm.r - _xlpm.rp)/(_xlpm.rn - _xlpm.rp)*(_xlpm.xn - _xlpm.xp) + _xlpm.xp
)</f>
        <v>74.006486078706629</v>
      </c>
      <c r="DB24" s="211">
        <f t="shared" si="55"/>
        <v>5006.3962150544103</v>
      </c>
      <c r="DC24" s="211">
        <f t="shared" si="55"/>
        <v>289.06158688730085</v>
      </c>
      <c r="DD24" s="211">
        <f t="shared" si="55"/>
        <v>62.116831773514463</v>
      </c>
      <c r="DE24" s="211">
        <f t="shared" si="55"/>
        <v>135310.77686918364</v>
      </c>
      <c r="DF24" s="211">
        <f t="shared" si="55"/>
        <v>119821.31247717874</v>
      </c>
      <c r="DG24" s="211">
        <f t="shared" si="55"/>
        <v>212.47416036079775</v>
      </c>
      <c r="DH24" s="211">
        <f t="shared" si="55"/>
        <v>978.77493140658521</v>
      </c>
      <c r="DI24" s="203">
        <f t="shared" si="55"/>
        <v>1.5161</v>
      </c>
    </row>
    <row r="25" spans="1:113">
      <c r="A25" s="47">
        <f>NASA!BI26</f>
        <v>-2.5159277833500502</v>
      </c>
      <c r="B25">
        <f>NASA!BJ26</f>
        <v>0.13843</v>
      </c>
      <c r="C25">
        <f>NASA!BK26</f>
        <v>0</v>
      </c>
      <c r="D25" s="29">
        <f>NASA!BL26</f>
        <v>1.4819630000000001</v>
      </c>
      <c r="E25" s="1">
        <f>NASA!BM26</f>
        <v>1.1996877690219481</v>
      </c>
      <c r="F25" s="1">
        <f>NASA!BN26</f>
        <v>13878451.439735999</v>
      </c>
      <c r="G25" s="1">
        <f>NASA!BO26</f>
        <v>79.206884542223747</v>
      </c>
      <c r="H25" s="141">
        <f>NASA!BP26</f>
        <v>8.3312000000000004E-3</v>
      </c>
      <c r="I25" s="141">
        <f>NASA!BQ26</f>
        <v>1.5493999999999998E-3</v>
      </c>
      <c r="J25" s="141">
        <f>NASA!BR26</f>
        <v>-1.7780000000000001E-3</v>
      </c>
      <c r="K25" s="141">
        <f>NASA!BS26</f>
        <v>4.5719999999999995E-4</v>
      </c>
      <c r="L25" s="141">
        <f>NASA!BT26</f>
        <v>6.6293999999999997E-3</v>
      </c>
      <c r="M25" s="141">
        <f>NASA!BU26</f>
        <v>8.8900000000000003E-4</v>
      </c>
      <c r="N25">
        <f>NASA!BV26</f>
        <v>69.716407470443542</v>
      </c>
      <c r="O25" s="1">
        <f>NASA!BW26</f>
        <v>5452.6478489212004</v>
      </c>
      <c r="P25" s="1">
        <f>NASA!BX26</f>
        <v>21.207930317646142</v>
      </c>
      <c r="Q25" s="1">
        <f>NASA!BY26</f>
        <v>7.1616368006329994E-6</v>
      </c>
      <c r="R25" s="1">
        <f>NASA!BZ26</f>
        <v>1.2588467171298998E-3</v>
      </c>
      <c r="S25" s="1">
        <f>NASA!CA26</f>
        <v>-1.2766396035911E-5</v>
      </c>
      <c r="T25" s="4">
        <f>NASA!CB26</f>
        <v>20</v>
      </c>
      <c r="U25" s="159">
        <f t="shared" si="5"/>
        <v>5337865.9383599991</v>
      </c>
      <c r="V25" s="247">
        <v>197404.42029310999</v>
      </c>
      <c r="W25" s="248">
        <v>0.87</v>
      </c>
      <c r="X25" s="160">
        <v>0.77</v>
      </c>
      <c r="Y25" s="1"/>
      <c r="Z25" s="168">
        <f t="shared" si="6"/>
        <v>0</v>
      </c>
      <c r="AA25" s="156">
        <f t="shared" si="7"/>
        <v>-1.7780000000000001E-3</v>
      </c>
      <c r="AB25" s="1">
        <f t="shared" si="8"/>
        <v>4.5719999999999995E-4</v>
      </c>
      <c r="AC25" s="1">
        <f t="shared" si="0"/>
        <v>8.3312000000000004E-3</v>
      </c>
      <c r="AD25" s="1">
        <f t="shared" si="1"/>
        <v>1.5493999999999998E-3</v>
      </c>
      <c r="AE25" s="1">
        <f t="shared" si="2"/>
        <v>6.6293999999999997E-3</v>
      </c>
      <c r="AF25" s="15">
        <f t="shared" si="3"/>
        <v>8.8900000000000003E-4</v>
      </c>
      <c r="AH25" s="42">
        <f t="shared" si="4"/>
        <v>-2.5159277833500502</v>
      </c>
      <c r="AI25" s="42">
        <f t="shared" ref="AI25:AI27" si="56">RADIANS(AH25)</f>
        <v>-4.3911223561860946E-2</v>
      </c>
      <c r="AJ25" s="7">
        <f>AA25*COS($AI25) - AB25*SIN($AI25)</f>
        <v>-1.7562163493472116E-3</v>
      </c>
      <c r="AK25" s="7">
        <f t="shared" ref="AK25:AK26" si="57" xml:space="preserve"> AA25*SIN($AI25) + AB25*COS($AI25)</f>
        <v>5.3480835285693953E-4</v>
      </c>
      <c r="AL25" s="7">
        <f>AC25*COS($AI25) - AD25*SIN($AI25)</f>
        <v>8.3911833865611112E-3</v>
      </c>
      <c r="AM25" s="7">
        <f t="shared" ref="AM25:AM26" si="58" xml:space="preserve"> AC25*SIN($AI25) + AD25*COS($AI25)</f>
        <v>1.1821908361600529E-3</v>
      </c>
      <c r="AN25" s="7">
        <f xml:space="preserve"> AE25*COS($AI25) - AF25*SIN($AI25)</f>
        <v>6.6620341708855694E-3</v>
      </c>
      <c r="AO25" s="23">
        <f t="shared" ref="AO25:AO26" si="59" xml:space="preserve"> AE25*SIN($AI25) + AF25*COS($AI25)</f>
        <v>5.9713153153473494E-4</v>
      </c>
      <c r="AQ25" s="10"/>
      <c r="AR25" s="69">
        <f t="shared" si="16"/>
        <v>79.206884542223747</v>
      </c>
      <c r="AS25" s="180" cm="1">
        <f t="array" ref="AS25">W25 * _xlfn.IFS( $AT$4="P", $U25,  $AT$4="A", $V25)</f>
        <v>171741.84565500569</v>
      </c>
      <c r="AT25" s="180" cm="1">
        <f t="array" ref="AT25">X25 * _xlfn.IFS( $AT$4="P", $U25,  $AT$4="A", $V25)</f>
        <v>152001.40362569469</v>
      </c>
      <c r="AU25" s="183">
        <f t="shared" si="17"/>
        <v>7.5047714654793493E-6</v>
      </c>
      <c r="AV25" s="180">
        <f t="shared" si="18"/>
        <v>1.2625469091560424E-3</v>
      </c>
      <c r="AW25" s="15">
        <f t="shared" si="19"/>
        <v>-1.3893189784011144E-5</v>
      </c>
      <c r="AX25" s="1">
        <f t="shared" si="20"/>
        <v>74.66499230183021</v>
      </c>
      <c r="AY25" s="1">
        <f t="shared" si="21"/>
        <v>6068.6109858380369</v>
      </c>
      <c r="AZ25" s="67">
        <f t="shared" si="22"/>
        <v>76.417946039795723</v>
      </c>
      <c r="BA25" s="1">
        <f t="shared" si="23"/>
        <v>8287.260963540004</v>
      </c>
      <c r="BB25" s="15">
        <f t="shared" si="24"/>
        <v>92458.717730497257</v>
      </c>
      <c r="BC25" s="1">
        <f t="shared" si="25"/>
        <v>203.03163611856192</v>
      </c>
      <c r="BD25" s="67">
        <f t="shared" si="26"/>
        <v>1275.471652837899</v>
      </c>
      <c r="BF25" s="185">
        <f xml:space="preserve"> IF($BF$3=1, -A25, 0)</f>
        <v>2.5159277833500502</v>
      </c>
      <c r="BG25" s="34">
        <f t="shared" si="53"/>
        <v>4.3911223561860946E-2</v>
      </c>
      <c r="BH25" s="188">
        <v>20</v>
      </c>
      <c r="BI25" s="189">
        <f t="shared" si="50"/>
        <v>1.4988540000000004</v>
      </c>
      <c r="BJ25" s="192">
        <f>D25</f>
        <v>1.4819630000000001</v>
      </c>
      <c r="BK25" s="189">
        <f>C25</f>
        <v>0</v>
      </c>
      <c r="BL25" s="86">
        <v>0</v>
      </c>
      <c r="BM25" s="69">
        <f>E25</f>
        <v>1.1996877690219481</v>
      </c>
      <c r="BN25" s="180">
        <f>AJ25</f>
        <v>-1.7562163493472116E-3</v>
      </c>
      <c r="BO25" s="69">
        <f>AK25</f>
        <v>5.3480835285693953E-4</v>
      </c>
      <c r="BP25" s="1">
        <f>0.5*($AU25+$AV25)+0.5*($AU25-$AV25)*COS(2*$BG25) + $AW25*SIN(2*$BG25)</f>
        <v>8.7046170544481786E-6</v>
      </c>
      <c r="BQ25" s="1">
        <f>0.5*($AU25+$AV25)-0.5*($AU25-$AV25)*COS(2*$BG25)-$AW25*SIN(2*$BG25)</f>
        <v>1.2613470635670736E-3</v>
      </c>
      <c r="BR25" s="15">
        <f xml:space="preserve"> - 0.5*($AU25-$AV25)*SIN(2*$BG25) + $AW25*COS(2*$BG25)</f>
        <v>4.1199974099689646E-5</v>
      </c>
      <c r="BS25" s="180">
        <f>F25</f>
        <v>13878451.439735999</v>
      </c>
      <c r="BT25" s="1">
        <f>$BA25*COS($BG25) + $BB25*SIN($BG25)</f>
        <v>12337.943329925303</v>
      </c>
      <c r="BU25" s="15">
        <f xml:space="preserve"> - $BA25*SIN($BG25) + $BB25*COS($BG25)</f>
        <v>92005.805974585819</v>
      </c>
      <c r="BV25" s="1">
        <f>0.5*($AX25+$AY25)+0.5*($AX25-$AY25)*COS(2*$BG25) + $AZ25*SIN(2*$BG25)</f>
        <v>92.917653191318919</v>
      </c>
      <c r="BW25" s="1">
        <f>0.5*($AX25+$AY25)-0.5*($AX25-$AY25)*COS(2*$BG25)-$AZ25*SIN(2*$BG25)</f>
        <v>6050.3583249485482</v>
      </c>
      <c r="BX25" s="15">
        <f xml:space="preserve"> - 0.5*($AX25-$AY25)*SIN(2*$BG25) + $AZ25*COS(2*$BG25)</f>
        <v>338.98673492825372</v>
      </c>
      <c r="BY25" s="15">
        <f>AR25</f>
        <v>79.206884542223747</v>
      </c>
      <c r="BZ25" s="1">
        <f>0.5*($AS25+$AT25)+0.5*($AS25-$AT25)*COS(2*$BG25)</f>
        <v>171703.80668072865</v>
      </c>
      <c r="CA25" s="15">
        <f>0.5*($AS25+$AT25)-0.5*($AS25-$AT25)*COS(2*$BG25)</f>
        <v>152039.44259997169</v>
      </c>
      <c r="CB25" s="1">
        <f>$BC25*COS($BG25) + $BD25*SIN($BG25)</f>
        <v>258.82544894085675</v>
      </c>
      <c r="CC25" s="15">
        <f xml:space="preserve"> - $BC25*SIN($BG25) + $BD25*COS($BG25)</f>
        <v>1265.3296682835607</v>
      </c>
      <c r="CD25" s="35">
        <f t="shared" si="27"/>
        <v>1.4819630000000001</v>
      </c>
      <c r="CF25" s="79">
        <f>$BS25*AF25</f>
        <v>12337.943329925303</v>
      </c>
      <c r="CG25" s="212">
        <f>$BS25*AE25</f>
        <v>92005.805974585834</v>
      </c>
      <c r="CH25" s="212">
        <f>BZ25*AD25</f>
        <v>266.03787807112093</v>
      </c>
      <c r="CI25" s="80">
        <f>CA25*AC25</f>
        <v>1266.6710041888841</v>
      </c>
      <c r="CJ25" s="114"/>
      <c r="CK25" s="20">
        <f t="shared" si="51"/>
        <v>21</v>
      </c>
      <c r="CL25" s="18">
        <f t="shared" si="52"/>
        <v>22</v>
      </c>
      <c r="CN25" s="53">
        <v>20</v>
      </c>
      <c r="CO25" s="208">
        <v>1.5490999999999999</v>
      </c>
      <c r="CP25" s="245">
        <v>1.9099999999999999E-2</v>
      </c>
      <c r="CQ25" s="244">
        <f t="shared" si="54"/>
        <v>0</v>
      </c>
      <c r="CR25" s="211">
        <f t="shared" si="54"/>
        <v>0.73476911295717273</v>
      </c>
      <c r="CS25" s="211">
        <f t="shared" si="54"/>
        <v>6.554835312507193E-3</v>
      </c>
      <c r="CT25" s="211">
        <f t="shared" si="54"/>
        <v>2.0857441642095089E-4</v>
      </c>
      <c r="CU25" s="211">
        <f t="shared" si="54"/>
        <v>5.1734507703686521E-6</v>
      </c>
      <c r="CV25" s="211">
        <f t="shared" si="54"/>
        <v>7.4464292864968092E-4</v>
      </c>
      <c r="CW25" s="211">
        <f t="shared" si="54"/>
        <v>2.8510050181947034E-5</v>
      </c>
      <c r="CX25" s="211">
        <f t="shared" si="54"/>
        <v>8807902.7895793393</v>
      </c>
      <c r="CY25" s="211">
        <f t="shared" si="54"/>
        <v>6915.3654591235327</v>
      </c>
      <c r="CZ25" s="211">
        <f t="shared" si="54"/>
        <v>62686.675264513899</v>
      </c>
      <c r="DA25" s="211">
        <f t="shared" si="55"/>
        <v>45.38993238672397</v>
      </c>
      <c r="DB25" s="211">
        <f t="shared" si="55"/>
        <v>3326.2989424445541</v>
      </c>
      <c r="DC25" s="211">
        <f t="shared" si="55"/>
        <v>200.07923692342041</v>
      </c>
      <c r="DD25" s="211">
        <f t="shared" si="55"/>
        <v>37.436678685700528</v>
      </c>
      <c r="DE25" s="211">
        <f t="shared" si="55"/>
        <v>88545.635618162894</v>
      </c>
      <c r="DF25" s="211">
        <f t="shared" si="55"/>
        <v>78414.939388306782</v>
      </c>
      <c r="DG25" s="211">
        <f t="shared" si="55"/>
        <v>124.93133121968052</v>
      </c>
      <c r="DH25" s="211">
        <f t="shared" si="55"/>
        <v>525.28371428097478</v>
      </c>
      <c r="DI25" s="203">
        <f t="shared" si="55"/>
        <v>1.5490999999999999</v>
      </c>
    </row>
    <row r="26" spans="1:113">
      <c r="A26" s="47">
        <f>NASA!BI27</f>
        <v>-2.6001805416248747</v>
      </c>
      <c r="B26">
        <f>NASA!BJ27</f>
        <v>0.13843</v>
      </c>
      <c r="C26">
        <f>NASA!BK27</f>
        <v>0</v>
      </c>
      <c r="D26" s="29">
        <f>NASA!BL27</f>
        <v>1.4920976000000001</v>
      </c>
      <c r="E26" s="1">
        <f>NASA!BM27</f>
        <v>1.2962143711271621</v>
      </c>
      <c r="F26" s="1">
        <f>NASA!BN27</f>
        <v>13922933.655888999</v>
      </c>
      <c r="G26" s="1">
        <f>NASA!BO27</f>
        <v>80.067828939421844</v>
      </c>
      <c r="H26" s="141">
        <f>NASA!BP27</f>
        <v>8.7375999999999981E-3</v>
      </c>
      <c r="I26" s="141">
        <f>NASA!BQ27</f>
        <v>1.6764E-3</v>
      </c>
      <c r="J26" s="141">
        <f>NASA!BR27</f>
        <v>1.9557999999999997E-3</v>
      </c>
      <c r="K26" s="141">
        <f>NASA!BS27</f>
        <v>6.8579999999999997E-4</v>
      </c>
      <c r="L26" s="141">
        <f>NASA!BT27</f>
        <v>6.8072000000000002E-3</v>
      </c>
      <c r="M26" s="141">
        <f>NASA!BU27</f>
        <v>9.1439999999999989E-4</v>
      </c>
      <c r="N26">
        <f>NASA!BV27</f>
        <v>70.2875005872516</v>
      </c>
      <c r="O26" s="1">
        <f>NASA!BW27</f>
        <v>5596.138581787548</v>
      </c>
      <c r="P26" s="1">
        <f>NASA!BX27</f>
        <v>16.759717598789372</v>
      </c>
      <c r="Q26" s="1">
        <f>NASA!BY27</f>
        <v>8.2736922044579985E-6</v>
      </c>
      <c r="R26" s="1">
        <f>NASA!BZ27</f>
        <v>1.5301882356631999E-3</v>
      </c>
      <c r="S26" s="1">
        <f>NASA!CA27</f>
        <v>-2.3041787967253998E-5</v>
      </c>
      <c r="T26" s="4">
        <f>NASA!CB27</f>
        <v>21</v>
      </c>
      <c r="U26" s="159">
        <f t="shared" si="5"/>
        <v>5354974.4830342298</v>
      </c>
      <c r="V26" s="247">
        <v>194672.707025532</v>
      </c>
      <c r="W26" s="248">
        <v>0.87</v>
      </c>
      <c r="X26" s="160">
        <v>0.77</v>
      </c>
      <c r="Y26" s="1"/>
      <c r="Z26" s="168">
        <f t="shared" si="6"/>
        <v>0</v>
      </c>
      <c r="AA26" s="156">
        <f t="shared" si="7"/>
        <v>1.9557999999999997E-3</v>
      </c>
      <c r="AB26" s="1">
        <f t="shared" si="8"/>
        <v>6.8579999999999997E-4</v>
      </c>
      <c r="AC26" s="1">
        <f t="shared" si="0"/>
        <v>8.7375999999999981E-3</v>
      </c>
      <c r="AD26" s="1">
        <f t="shared" si="1"/>
        <v>1.6764E-3</v>
      </c>
      <c r="AE26" s="1">
        <f t="shared" si="2"/>
        <v>6.8072000000000002E-3</v>
      </c>
      <c r="AF26" s="15">
        <f t="shared" si="3"/>
        <v>9.1439999999999989E-4</v>
      </c>
      <c r="AH26" s="42">
        <f t="shared" si="4"/>
        <v>-2.6001805416248747</v>
      </c>
      <c r="AI26" s="42">
        <f t="shared" si="56"/>
        <v>-4.538171159764353E-2</v>
      </c>
      <c r="AJ26" s="7">
        <f>AA26*COS($AI26) - AB26*SIN($AI26)</f>
        <v>1.9848984568447657E-3</v>
      </c>
      <c r="AK26" s="7">
        <f t="shared" si="57"/>
        <v>5.9636683007631029E-4</v>
      </c>
      <c r="AL26" s="7">
        <f>AC26*COS($AI26) - AD26*SIN($AI26)</f>
        <v>8.8046557918748103E-3</v>
      </c>
      <c r="AM26" s="7">
        <f t="shared" si="58"/>
        <v>1.2782828742517586E-3</v>
      </c>
      <c r="AN26" s="7">
        <f xml:space="preserve"> AE26*COS($AI26) - AF26*SIN($AI26)</f>
        <v>6.8416742843139611E-3</v>
      </c>
      <c r="AO26" s="23">
        <f t="shared" si="59"/>
        <v>6.0464219779721813E-4</v>
      </c>
      <c r="AQ26" s="10"/>
      <c r="AR26" s="69">
        <f t="shared" si="16"/>
        <v>80.067828939421844</v>
      </c>
      <c r="AS26" s="180" cm="1">
        <f t="array" ref="AS26">W26 * _xlfn.IFS( $AT$4="P", $U26,  $AT$4="A", $V26)</f>
        <v>169365.25511221285</v>
      </c>
      <c r="AT26" s="180" cm="1">
        <f t="array" ref="AT26">X26 * _xlfn.IFS( $AT$4="P", $U26,  $AT$4="A", $V26)</f>
        <v>149897.98440965964</v>
      </c>
      <c r="AU26" s="183">
        <f t="shared" si="17"/>
        <v>8.7346952475131671E-6</v>
      </c>
      <c r="AV26" s="180">
        <f t="shared" si="18"/>
        <v>1.5352950894089023E-3</v>
      </c>
      <c r="AW26" s="15">
        <f t="shared" si="19"/>
        <v>-2.1507423239685468E-5</v>
      </c>
      <c r="AX26" s="1">
        <f t="shared" si="20"/>
        <v>75.37761635693515</v>
      </c>
      <c r="AY26" s="1">
        <f t="shared" si="21"/>
        <v>6247.8503194557907</v>
      </c>
      <c r="AZ26" s="67">
        <f t="shared" si="22"/>
        <v>74.355621907976087</v>
      </c>
      <c r="BA26" s="1">
        <f t="shared" si="23"/>
        <v>8418.3932054815814</v>
      </c>
      <c r="BB26" s="15">
        <f t="shared" si="24"/>
        <v>95256.177155705125</v>
      </c>
      <c r="BC26" s="1">
        <f t="shared" si="25"/>
        <v>216.49670510322179</v>
      </c>
      <c r="BD26" s="67">
        <f t="shared" si="26"/>
        <v>1319.8001566228697</v>
      </c>
      <c r="BF26" s="185">
        <f xml:space="preserve"> IF($BF$3=1, -A26, 0)</f>
        <v>2.6001805416248747</v>
      </c>
      <c r="BG26" s="34">
        <f t="shared" si="53"/>
        <v>4.538171159764353E-2</v>
      </c>
      <c r="BH26" s="188">
        <v>21</v>
      </c>
      <c r="BI26" s="189">
        <f t="shared" si="50"/>
        <v>1.5089886000000003</v>
      </c>
      <c r="BJ26" s="192">
        <f>D26</f>
        <v>1.4920976000000001</v>
      </c>
      <c r="BK26" s="189">
        <f>C26</f>
        <v>0</v>
      </c>
      <c r="BL26" s="86">
        <v>0</v>
      </c>
      <c r="BM26" s="69">
        <f>E26</f>
        <v>1.2962143711271621</v>
      </c>
      <c r="BN26" s="180">
        <f>AJ26</f>
        <v>1.9848984568447657E-3</v>
      </c>
      <c r="BO26" s="69">
        <f>AK26</f>
        <v>5.9636683007631029E-4</v>
      </c>
      <c r="BP26" s="1">
        <f>0.5*($AU26+$AV26)+0.5*($AU26-$AV26)*COS(2*$BG26) + $AW26*SIN(2*$BG26)</f>
        <v>9.9270800190509167E-6</v>
      </c>
      <c r="BQ26" s="1">
        <f>0.5*($AU26+$AV26)-0.5*($AU26-$AV26)*COS(2*$BG26)-$AW26*SIN(2*$BG26)</f>
        <v>1.5341027046373646E-3</v>
      </c>
      <c r="BR26" s="15">
        <f xml:space="preserve"> - 0.5*($AU26-$AV26)*SIN(2*$BG26) + $AW26*COS(2*$BG26)</f>
        <v>4.7763949164595292E-5</v>
      </c>
      <c r="BS26" s="180">
        <f>F26</f>
        <v>13922933.655888999</v>
      </c>
      <c r="BT26" s="1">
        <f>$BA26*COS($BG26) + $BB26*SIN($BG26)</f>
        <v>12731.130534944899</v>
      </c>
      <c r="BU26" s="15">
        <f xml:space="preserve"> - $BA26*SIN($BG26) + $BB26*COS($BG26)</f>
        <v>94776.193982367593</v>
      </c>
      <c r="BV26" s="1">
        <f>0.5*($AX26+$AY26)+0.5*($AX26-$AY26)*COS(2*$BG26) + $AZ26*SIN(2*$BG26)</f>
        <v>94.820606331326104</v>
      </c>
      <c r="BW26" s="1">
        <f>0.5*($AX26+$AY26)-0.5*($AX26-$AY26)*COS(2*$BG26)-$AZ26*SIN(2*$BG26)</f>
        <v>6228.4073294813998</v>
      </c>
      <c r="BX26" s="15">
        <f xml:space="preserve"> - 0.5*($AX26-$AY26)*SIN(2*$BG26) + $AZ26*COS(2*$BG26)</f>
        <v>353.78249466830198</v>
      </c>
      <c r="BY26" s="15">
        <f>AR26</f>
        <v>80.067828939421844</v>
      </c>
      <c r="BZ26" s="1">
        <f>0.5*($AS26+$AT26)+0.5*($AS26-$AT26)*COS(2*$BG26)</f>
        <v>169325.18978928958</v>
      </c>
      <c r="CA26" s="15">
        <f>0.5*($AS26+$AT26)-0.5*($AS26-$AT26)*COS(2*$BG26)</f>
        <v>149938.04973258291</v>
      </c>
      <c r="CB26" s="1">
        <f>$BC26*COS($BG26) + $BD26*SIN($BG26)</f>
        <v>276.14803921463852</v>
      </c>
      <c r="CC26" s="15">
        <f xml:space="preserve"> - $BC26*SIN($BG26) + $BD26*COS($BG26)</f>
        <v>1308.6197068591828</v>
      </c>
      <c r="CD26" s="35">
        <f t="shared" si="27"/>
        <v>1.4920976000000001</v>
      </c>
      <c r="CF26" s="79">
        <f>$BS26*AF26</f>
        <v>12731.130534944899</v>
      </c>
      <c r="CG26" s="212">
        <f>$BS26*AE26</f>
        <v>94776.193982367593</v>
      </c>
      <c r="CH26" s="212">
        <f>BZ26*AD26</f>
        <v>283.85674816276503</v>
      </c>
      <c r="CI26" s="80">
        <f>CA26*AC26</f>
        <v>1310.0987033434162</v>
      </c>
      <c r="CJ26" s="114"/>
      <c r="CK26" s="20">
        <f t="shared" si="51"/>
        <v>21</v>
      </c>
      <c r="CL26" s="18">
        <f t="shared" si="52"/>
        <v>22</v>
      </c>
      <c r="CN26" s="53">
        <v>21</v>
      </c>
      <c r="CO26" s="208">
        <v>1.5824</v>
      </c>
      <c r="CP26" s="245">
        <v>3.8199999999999998E-2</v>
      </c>
      <c r="CQ26" s="244">
        <f t="shared" si="54"/>
        <v>0</v>
      </c>
      <c r="CR26" s="211">
        <f t="shared" si="54"/>
        <v>0.40678069322290245</v>
      </c>
      <c r="CS26" s="211">
        <f t="shared" si="54"/>
        <v>9.2245281200654689E-3</v>
      </c>
      <c r="CT26" s="211">
        <f t="shared" si="54"/>
        <v>-1.7968455014700114E-5</v>
      </c>
      <c r="CU26" s="211">
        <f t="shared" si="54"/>
        <v>2.3964474515413658E-6</v>
      </c>
      <c r="CV26" s="211">
        <f t="shared" si="54"/>
        <v>2.8345163599551113E-4</v>
      </c>
      <c r="CW26" s="211">
        <f t="shared" si="54"/>
        <v>1.726219331763621E-5</v>
      </c>
      <c r="CX26" s="211">
        <f t="shared" si="54"/>
        <v>5819773.7310114065</v>
      </c>
      <c r="CY26" s="211">
        <f t="shared" si="54"/>
        <v>3517.8773353804481</v>
      </c>
      <c r="CZ26" s="211">
        <f t="shared" si="54"/>
        <v>43940.42996072783</v>
      </c>
      <c r="DA26" s="211">
        <f t="shared" si="55"/>
        <v>16.51322820663222</v>
      </c>
      <c r="DB26" s="211">
        <f t="shared" si="55"/>
        <v>1630.9280582655092</v>
      </c>
      <c r="DC26" s="211">
        <f t="shared" si="55"/>
        <v>110.28795650532237</v>
      </c>
      <c r="DD26" s="211">
        <f t="shared" si="55"/>
        <v>12.532160569815417</v>
      </c>
      <c r="DE26" s="211">
        <f t="shared" si="55"/>
        <v>41355.356719405361</v>
      </c>
      <c r="DF26" s="211">
        <f t="shared" si="55"/>
        <v>36632.144725899387</v>
      </c>
      <c r="DG26" s="211">
        <f t="shared" si="55"/>
        <v>36.59265817727993</v>
      </c>
      <c r="DH26" s="211">
        <f t="shared" si="55"/>
        <v>67.669849726947177</v>
      </c>
      <c r="DI26" s="203">
        <f t="shared" si="55"/>
        <v>1.5824</v>
      </c>
    </row>
    <row r="27" spans="1:113" ht="15" thickBot="1">
      <c r="A27" s="47">
        <f>NASA!BI28</f>
        <v>-3.3593530239099856</v>
      </c>
      <c r="B27" s="49">
        <f>NASA!BJ28</f>
        <v>9.4183577657223252E-2</v>
      </c>
      <c r="C27" s="49">
        <f>NASA!BK28</f>
        <v>3.8786657383966236E-2</v>
      </c>
      <c r="D27" s="145">
        <f>NASA!BL28</f>
        <v>1.5833089999999999</v>
      </c>
      <c r="E27" s="144">
        <f>NASA!BM28</f>
        <v>0.39782749581934712</v>
      </c>
      <c r="F27" s="144">
        <f>NASA!BN28</f>
        <v>5738205.8837369997</v>
      </c>
      <c r="G27" s="144">
        <f>NASA!BO28</f>
        <v>11.852334534760296</v>
      </c>
      <c r="H27" s="146">
        <f>NASA!BP28</f>
        <v>4.0347899999999999E-2</v>
      </c>
      <c r="I27" s="146">
        <f>NASA!BQ28</f>
        <v>8.6360000000000007E-4</v>
      </c>
      <c r="J27" s="146">
        <f>NASA!BR28</f>
        <v>4.8069500000000001E-2</v>
      </c>
      <c r="K27" s="146">
        <f>NASA!BS28</f>
        <v>5.2070000000000003E-4</v>
      </c>
      <c r="L27" s="146">
        <f>NASA!BT28</f>
        <v>4.6355E-2</v>
      </c>
      <c r="M27" s="146">
        <f>NASA!BU28</f>
        <v>5.9689999999999993E-4</v>
      </c>
      <c r="N27" s="194">
        <f>NASA!BV28</f>
        <v>8.3626399114507262</v>
      </c>
      <c r="O27" s="144">
        <f>NASA!BW28</f>
        <v>1261.2835418951934</v>
      </c>
      <c r="P27" s="144">
        <f>NASA!BX28</f>
        <v>8.6811893384140166</v>
      </c>
      <c r="Q27" s="144">
        <f>NASA!BY28</f>
        <v>1.2588467171298998E-6</v>
      </c>
      <c r="R27" s="144">
        <f>NASA!BZ28</f>
        <v>2.3753503425701997E-4</v>
      </c>
      <c r="S27" s="144">
        <f>NASA!CA28</f>
        <v>1.2190351336729649E-6</v>
      </c>
      <c r="T27" s="4">
        <f>NASA!CB28</f>
        <v>22</v>
      </c>
      <c r="U27" s="159">
        <f t="shared" si="5"/>
        <v>2207002.2629757691</v>
      </c>
      <c r="V27" s="247">
        <v>46072.4250029584</v>
      </c>
      <c r="W27" s="248">
        <v>0.87</v>
      </c>
      <c r="X27" s="160">
        <v>0.77</v>
      </c>
      <c r="Y27" s="1"/>
      <c r="Z27" s="169">
        <f t="shared" si="6"/>
        <v>3.8786657383966236E-2</v>
      </c>
      <c r="AA27" s="162">
        <f t="shared" si="7"/>
        <v>4.8069500000000001E-2</v>
      </c>
      <c r="AB27" s="163">
        <f t="shared" si="8"/>
        <v>5.2070000000000003E-4</v>
      </c>
      <c r="AC27" s="163">
        <f t="shared" si="0"/>
        <v>4.0347899999999999E-2</v>
      </c>
      <c r="AD27" s="163">
        <f t="shared" si="1"/>
        <v>8.6360000000000007E-4</v>
      </c>
      <c r="AE27" s="163">
        <f t="shared" si="2"/>
        <v>4.6355E-2</v>
      </c>
      <c r="AF27" s="174">
        <f t="shared" si="3"/>
        <v>5.9689999999999993E-4</v>
      </c>
      <c r="AH27" s="213">
        <f t="shared" si="4"/>
        <v>-3.3593530239099856</v>
      </c>
      <c r="AI27" s="215">
        <f t="shared" si="56"/>
        <v>-5.8631771004057039E-2</v>
      </c>
      <c r="AJ27" s="223">
        <f>(AA27-$Z27)*COS($AI27) - AB27*SIN($AI27)</f>
        <v>9.2974035183258294E-3</v>
      </c>
      <c r="AK27" s="218">
        <f xml:space="preserve"> (AA27-$Z27)*SIN($AI27) + AB27*COS($AI27)</f>
        <v>-2.4152463126861346E-5</v>
      </c>
      <c r="AL27" s="218">
        <f>(AC27-$Z27)*COS($AI27) - AD27*SIN($AI27)</f>
        <v>1.609165246457409E-3</v>
      </c>
      <c r="AM27" s="218">
        <f xml:space="preserve"> (AC27-$Z27)*SIN($AI27) + AD27*COS($AI27)</f>
        <v>7.7063005113583115E-4</v>
      </c>
      <c r="AN27" s="218">
        <f xml:space="preserve"> (AE27-$Z27)*COS($AI27) - AF27*SIN($AI27)</f>
        <v>7.5903148109057106E-3</v>
      </c>
      <c r="AO27" s="220">
        <f xml:space="preserve"> (AE27-$Z27)*SIN($AI27) + AF27*COS($AI27)</f>
        <v>1.5238318482763E-4</v>
      </c>
      <c r="AP27" s="229" t="s">
        <v>295</v>
      </c>
      <c r="AQ27" s="10"/>
      <c r="AR27" s="69">
        <f t="shared" si="16"/>
        <v>11.852334534760296</v>
      </c>
      <c r="AS27" s="180" cm="1">
        <f t="array" ref="AS27">W27 * _xlfn.IFS( $AT$4="P", $U27,  $AT$4="A", $V27)</f>
        <v>40083.009752573809</v>
      </c>
      <c r="AT27" s="180" cm="1">
        <f t="array" ref="AT27">X27 * _xlfn.IFS( $AT$4="P", $U27,  $AT$4="A", $V27)</f>
        <v>35475.767252277969</v>
      </c>
      <c r="AU27" s="183">
        <f t="shared" si="17"/>
        <v>1.2590787864081442E-6</v>
      </c>
      <c r="AV27" s="180">
        <f t="shared" si="18"/>
        <v>2.7192392414895152E-4</v>
      </c>
      <c r="AW27" s="15">
        <f t="shared" si="19"/>
        <v>1.1297009025135398E-6</v>
      </c>
      <c r="AX27" s="1">
        <f t="shared" si="20"/>
        <v>8.4958846959363381</v>
      </c>
      <c r="AY27" s="1">
        <f t="shared" si="21"/>
        <v>1591.8781027426267</v>
      </c>
      <c r="AZ27" s="67">
        <f t="shared" si="22"/>
        <v>15.318206817088576</v>
      </c>
      <c r="BA27" s="1">
        <f t="shared" si="23"/>
        <v>874.40608776048919</v>
      </c>
      <c r="BB27" s="15">
        <f t="shared" si="24"/>
        <v>43554.789107355238</v>
      </c>
      <c r="BC27" s="1">
        <f t="shared" si="25"/>
        <v>30.889171855303974</v>
      </c>
      <c r="BD27" s="67">
        <f t="shared" si="26"/>
        <v>57.086371753777556</v>
      </c>
      <c r="BF27" s="185">
        <f xml:space="preserve"> IF($BF$3=1, -A27, 0)</f>
        <v>3.3593530239099856</v>
      </c>
      <c r="BG27" s="34">
        <f t="shared" si="53"/>
        <v>5.8631771004057039E-2</v>
      </c>
      <c r="BH27" s="188">
        <v>22</v>
      </c>
      <c r="BI27" s="189">
        <f t="shared" si="50"/>
        <v>1.6081043115748115</v>
      </c>
      <c r="BJ27" s="192">
        <f>D27</f>
        <v>1.5833089999999999</v>
      </c>
      <c r="BK27" s="198">
        <f>C27</f>
        <v>3.8786657383966236E-2</v>
      </c>
      <c r="BL27" s="86">
        <v>0</v>
      </c>
      <c r="BM27" s="69">
        <f>E27</f>
        <v>0.39782749581934712</v>
      </c>
      <c r="BN27" s="180">
        <f>AJ27</f>
        <v>9.2974035183258294E-3</v>
      </c>
      <c r="BO27" s="69">
        <f>AK27</f>
        <v>-2.4152463126861346E-5</v>
      </c>
      <c r="BP27" s="1">
        <f>0.5*($AU27+$AV27)+0.5*($AU27-$AV27)*COS(2*$BG27) + $AW27*SIN(2*$BG27)</f>
        <v>2.3206427663517713E-6</v>
      </c>
      <c r="BQ27" s="1">
        <f>0.5*($AU27+$AV27)-0.5*($AU27-$AV27)*COS(2*$BG27)-$AW27*SIN(2*$BG27)</f>
        <v>2.7086236016900792E-4</v>
      </c>
      <c r="BR27" s="15">
        <f xml:space="preserve"> - 0.5*($AU27-$AV27)*SIN(2*$BG27) + $AW27*COS(2*$BG27)</f>
        <v>1.6955157224853734E-5</v>
      </c>
      <c r="BS27" s="180">
        <f>F27</f>
        <v>5738205.8837369997</v>
      </c>
      <c r="BT27" s="1">
        <f>$BA27*COS($BG27) + $BB27*SIN($BG27)</f>
        <v>3425.1350920026148</v>
      </c>
      <c r="BU27" s="15">
        <f xml:space="preserve"> - $BA27*SIN($BG27) + $BB27*COS($BG27)</f>
        <v>43428.708129462415</v>
      </c>
      <c r="BV27" s="1">
        <f>0.5*($AX27+$AY27)+0.5*($AX27-$AY27)*COS(2*$BG27) + $AZ27*SIN(2*$BG27)</f>
        <v>15.72497222766229</v>
      </c>
      <c r="BW27" s="1">
        <f>0.5*($AX27+$AY27)-0.5*($AX27-$AY27)*COS(2*$BG27)-$AZ27*SIN(2*$BG27)</f>
        <v>1584.6490152109006</v>
      </c>
      <c r="BX27" s="15">
        <f xml:space="preserve"> - 0.5*($AX27-$AY27)*SIN(2*$BG27) + $AZ27*COS(2*$BG27)</f>
        <v>107.83689722904504</v>
      </c>
      <c r="BY27" s="15">
        <f>AR27</f>
        <v>11.852334534760296</v>
      </c>
      <c r="BZ27" s="1">
        <f>0.5*($AS27+$AT27)+0.5*($AS27-$AT27)*COS(2*$BG27)</f>
        <v>40067.189646763836</v>
      </c>
      <c r="CA27" s="15">
        <f>0.5*($AS27+$AT27)-0.5*($AS27-$AT27)*COS(2*$BG27)</f>
        <v>35491.587358087949</v>
      </c>
      <c r="CB27" s="1">
        <f>$BC27*COS($BG27) + $BD27*SIN($BG27)</f>
        <v>34.181251156393245</v>
      </c>
      <c r="CC27" s="15">
        <f xml:space="preserve"> - $BC27*SIN($BG27) + $BD27*COS($BG27)</f>
        <v>55.178228018853233</v>
      </c>
      <c r="CD27" s="35">
        <f t="shared" si="27"/>
        <v>1.5833089999999999</v>
      </c>
      <c r="CF27" s="79">
        <f>$BS27*AF27</f>
        <v>3425.1350920026148</v>
      </c>
      <c r="CG27" s="212">
        <f>$BS27*AE27</f>
        <v>265994.53374062863</v>
      </c>
      <c r="CH27" s="212">
        <f>BZ27*AD27</f>
        <v>34.602024978945252</v>
      </c>
      <c r="CI27" s="80">
        <f>CA27*AC27</f>
        <v>1432.0110175653967</v>
      </c>
      <c r="CJ27" s="114"/>
      <c r="CK27" s="22">
        <f t="shared" si="51"/>
        <v>24</v>
      </c>
      <c r="CL27" s="19"/>
      <c r="CM27" s="13"/>
      <c r="CN27" s="57">
        <v>22</v>
      </c>
      <c r="CO27" s="238">
        <v>1.6002000000000001</v>
      </c>
      <c r="CP27" s="246">
        <f xml:space="preserve"> - NASA!AB15*NASA!$BG$8</f>
        <v>4.8539399999999996E-2</v>
      </c>
      <c r="CQ27" s="233">
        <f t="shared" si="54"/>
        <v>0</v>
      </c>
      <c r="CR27" s="202">
        <f t="shared" si="54"/>
        <v>0.29509561215022628</v>
      </c>
      <c r="CS27" s="202">
        <f t="shared" si="54"/>
        <v>1.2043504478451058E-2</v>
      </c>
      <c r="CT27" s="202">
        <f t="shared" si="54"/>
        <v>-3.0400539062530059E-4</v>
      </c>
      <c r="CU27" s="202">
        <f t="shared" si="54"/>
        <v>1.4034779907340644E-6</v>
      </c>
      <c r="CV27" s="202">
        <f t="shared" si="54"/>
        <v>1.7344500204911391E-4</v>
      </c>
      <c r="CW27" s="202">
        <f t="shared" si="54"/>
        <v>1.0020235442823492E-5</v>
      </c>
      <c r="CX27" s="202">
        <f t="shared" si="54"/>
        <v>4239155.1993809007</v>
      </c>
      <c r="CY27" s="202">
        <f t="shared" si="54"/>
        <v>2153.4908412854975</v>
      </c>
      <c r="CZ27" s="202">
        <f t="shared" si="54"/>
        <v>37255.391554239111</v>
      </c>
      <c r="DA27" s="202">
        <f t="shared" si="55"/>
        <v>8.974308125544713</v>
      </c>
      <c r="DB27" s="202">
        <f t="shared" si="55"/>
        <v>1070.3243797483506</v>
      </c>
      <c r="DC27" s="202">
        <f t="shared" si="55"/>
        <v>68.012002852374351</v>
      </c>
      <c r="DD27" s="202">
        <f t="shared" si="55"/>
        <v>7.260631083037179</v>
      </c>
      <c r="DE27" s="202">
        <f t="shared" si="55"/>
        <v>35634.168298738055</v>
      </c>
      <c r="DF27" s="202">
        <f t="shared" si="55"/>
        <v>31567.074693985545</v>
      </c>
      <c r="DG27" s="202">
        <f t="shared" si="55"/>
        <v>23.199397778334987</v>
      </c>
      <c r="DH27" s="202">
        <f t="shared" si="55"/>
        <v>270.83207144966758</v>
      </c>
      <c r="DI27" s="204">
        <f t="shared" si="55"/>
        <v>1.6002000000000001</v>
      </c>
    </row>
    <row r="28" spans="1:113">
      <c r="A28" s="47">
        <f>NASA!BI29</f>
        <v>-3.4718706047819969</v>
      </c>
      <c r="B28" s="49">
        <f>NASA!BJ29</f>
        <v>8.5283115531444645E-2</v>
      </c>
      <c r="C28" s="49">
        <f>NASA!BK29</f>
        <v>4.6588851476793244E-2</v>
      </c>
      <c r="D28" s="29">
        <f>NASA!BL29</f>
        <v>1.5968218000000001</v>
      </c>
      <c r="E28" s="1">
        <f>NASA!BM29</f>
        <v>0.29509561215022623</v>
      </c>
      <c r="F28" s="1">
        <f>NASA!BN29</f>
        <v>4239155.1993808998</v>
      </c>
      <c r="G28" s="1">
        <f>NASA!BO29</f>
        <v>7.2606310830371781</v>
      </c>
      <c r="H28" s="141">
        <f>NASA!BP29</f>
        <v>5.7124599999999998E-2</v>
      </c>
      <c r="I28" s="141">
        <f>NASA!BQ29</f>
        <v>7.1119999999999994E-4</v>
      </c>
      <c r="J28" s="141">
        <f>NASA!BR29</f>
        <v>6.0578999999999994E-2</v>
      </c>
      <c r="K28" s="141">
        <f>NASA!BS29</f>
        <v>4.3180000000000003E-4</v>
      </c>
      <c r="L28" s="141">
        <f>NASA!BT29</f>
        <v>5.7327799999999998E-2</v>
      </c>
      <c r="M28" s="141">
        <f>NASA!BU29</f>
        <v>5.0799999999999999E-4</v>
      </c>
      <c r="N28">
        <f>NASA!BV29</f>
        <v>4.6376204862403476</v>
      </c>
      <c r="O28" s="1">
        <f>NASA!BW29</f>
        <v>746.15181090500641</v>
      </c>
      <c r="P28" s="1">
        <f>NASA!BX29</f>
        <v>3.9316460805379183</v>
      </c>
      <c r="Q28" s="1">
        <f>NASA!BY29</f>
        <v>7.9623166913869995E-7</v>
      </c>
      <c r="R28" s="1">
        <f>NASA!BZ29</f>
        <v>1.3122253765134999E-4</v>
      </c>
      <c r="S28" s="1">
        <f>NASA!CA29</f>
        <v>5.4268303706659997E-7</v>
      </c>
      <c r="T28" s="4">
        <f>NASA!CB29</f>
        <v>23</v>
      </c>
      <c r="U28" s="159">
        <f t="shared" si="5"/>
        <v>1630444.3074541921</v>
      </c>
      <c r="V28" s="247">
        <v>40976.367678490002</v>
      </c>
      <c r="W28" s="248">
        <v>0.87</v>
      </c>
      <c r="X28" s="160">
        <v>0.77</v>
      </c>
      <c r="Z28" s="168">
        <f t="shared" si="6"/>
        <v>4.6588851476793244E-2</v>
      </c>
      <c r="AA28" s="156">
        <f t="shared" si="7"/>
        <v>6.0578999999999994E-2</v>
      </c>
      <c r="AB28" s="1">
        <f t="shared" si="8"/>
        <v>4.3180000000000003E-4</v>
      </c>
      <c r="AC28" s="1">
        <f t="shared" si="0"/>
        <v>5.7124599999999998E-2</v>
      </c>
      <c r="AD28" s="1">
        <f t="shared" si="1"/>
        <v>7.1119999999999994E-4</v>
      </c>
      <c r="AE28" s="1">
        <f t="shared" si="2"/>
        <v>5.7327799999999998E-2</v>
      </c>
      <c r="AF28" s="15">
        <f t="shared" si="3"/>
        <v>5.0799999999999999E-4</v>
      </c>
      <c r="AH28" s="42">
        <f t="shared" si="4"/>
        <v>-3.4718706047819969</v>
      </c>
      <c r="AI28" s="216">
        <f t="shared" ref="AI28:AI29" si="60">RADIANS(AH28)</f>
        <v>-6.059557325665263E-2</v>
      </c>
      <c r="AJ28" s="224">
        <f t="shared" ref="AJ28:AJ29" si="61">(AA28-$Z28)*COS($AI28) - AB28*SIN($AI28)</f>
        <v>1.3990620862490718E-2</v>
      </c>
      <c r="AK28" s="219">
        <f t="shared" ref="AK28:AK29" si="62" xml:space="preserve"> (AA28-$Z28)*SIN($AI28) + AB28*COS($AI28)</f>
        <v>-4.1621487650427778E-4</v>
      </c>
      <c r="AL28" s="219">
        <f t="shared" ref="AL28:AL29" si="63">(AC28-$Z28)*COS($AI28) - AD28*SIN($AI28)</f>
        <v>1.0559480939885077E-2</v>
      </c>
      <c r="AM28" s="219">
        <f t="shared" ref="AM28:AM29" si="64" xml:space="preserve"> (AC28-$Z28)*SIN($AI28) + AD28*COS($AI28)</f>
        <v>7.1865599956042478E-5</v>
      </c>
      <c r="AN28" s="219">
        <f t="shared" ref="AN28:AN29" si="65" xml:space="preserve"> (AE28-$Z28)*COS($AI28) - AF28*SIN($AI28)</f>
        <v>1.0750002510091014E-2</v>
      </c>
      <c r="AO28" s="221">
        <f t="shared" ref="AO28:AO29" si="66" xml:space="preserve"> (AE28-$Z28)*SIN($AI28) + AF28*COS($AI28)</f>
        <v>-1.4326694357529881E-4</v>
      </c>
      <c r="AP28" s="227" t="s">
        <v>91</v>
      </c>
      <c r="AQ28" s="10"/>
      <c r="AR28" s="69">
        <f t="shared" si="16"/>
        <v>7.2606310830371781</v>
      </c>
      <c r="AS28" s="180" cm="1">
        <f t="array" ref="AS28">W28 * _xlfn.IFS( $AT$4="P", $U28,  $AT$4="A", $V28)</f>
        <v>35649.4398802863</v>
      </c>
      <c r="AT28" s="180" cm="1">
        <f t="array" ref="AT28">X28 * _xlfn.IFS( $AT$4="P", $U28,  $AT$4="A", $V28)</f>
        <v>31551.803112437301</v>
      </c>
      <c r="AU28" s="183">
        <f t="shared" si="17"/>
        <v>8.4735250540258556E-7</v>
      </c>
      <c r="AV28" s="180">
        <f t="shared" si="18"/>
        <v>1.889838068067374E-4</v>
      </c>
      <c r="AW28" s="15">
        <f t="shared" si="19"/>
        <v>-1.1756895601563609E-6</v>
      </c>
      <c r="AX28" s="1">
        <f t="shared" si="20"/>
        <v>4.7246309149500254</v>
      </c>
      <c r="AY28" s="1">
        <f t="shared" si="21"/>
        <v>1236.0394124077939</v>
      </c>
      <c r="AZ28" s="67">
        <f t="shared" si="22"/>
        <v>-2.5971616380515457</v>
      </c>
      <c r="BA28" s="1">
        <f t="shared" si="23"/>
        <v>-607.33080875663791</v>
      </c>
      <c r="BB28" s="15">
        <f t="shared" si="24"/>
        <v>45570.929034010049</v>
      </c>
      <c r="BC28" s="1">
        <f t="shared" si="25"/>
        <v>2.5619683850936421</v>
      </c>
      <c r="BD28" s="67">
        <f t="shared" si="26"/>
        <v>333.17066358478831</v>
      </c>
      <c r="BF28" s="185">
        <f xml:space="preserve"> IF($BF$3=1, -A28, 0)</f>
        <v>3.4718706047819969</v>
      </c>
      <c r="BG28" s="34">
        <f t="shared" si="53"/>
        <v>6.059557325665263E-2</v>
      </c>
      <c r="BH28" s="188">
        <v>23</v>
      </c>
      <c r="BI28" s="189">
        <f t="shared" si="50"/>
        <v>1.6237078367054398</v>
      </c>
      <c r="BJ28" s="192">
        <f>D28</f>
        <v>1.5968218000000001</v>
      </c>
      <c r="BK28" s="198">
        <f>C28</f>
        <v>4.6588851476793244E-2</v>
      </c>
      <c r="BL28" s="86">
        <v>0</v>
      </c>
      <c r="BM28" s="69">
        <f>E28</f>
        <v>0.29509561215022623</v>
      </c>
      <c r="BN28" s="180">
        <f>AJ28</f>
        <v>1.3990620862490718E-2</v>
      </c>
      <c r="BO28" s="69">
        <f>AK28</f>
        <v>-4.1621487650427778E-4</v>
      </c>
      <c r="BP28" s="1">
        <f>0.5*($AU28+$AV28)+0.5*($AU28-$AV28)*COS(2*$BG28) + $AW28*SIN(2*$BG28)</f>
        <v>1.3951766299904276E-6</v>
      </c>
      <c r="BQ28" s="1">
        <f>0.5*($AU28+$AV28)-0.5*($AU28-$AV28)*COS(2*$BG28)-$AW28*SIN(2*$BG28)</f>
        <v>1.8843598268214958E-4</v>
      </c>
      <c r="BR28" s="15">
        <f xml:space="preserve"> - 0.5*($AU28-$AV28)*SIN(2*$BG28) + $AW28*COS(2*$BG28)</f>
        <v>1.0205284074981513E-5</v>
      </c>
      <c r="BS28" s="180">
        <f>F28</f>
        <v>4239155.1993808998</v>
      </c>
      <c r="BT28" s="1">
        <f>$BA28*COS($BG28) + $BB28*SIN($BG28)</f>
        <v>2153.4908412854975</v>
      </c>
      <c r="BU28" s="15">
        <f xml:space="preserve"> - $BA28*SIN($BG28) + $BB28*COS($BG28)</f>
        <v>45524.069468035748</v>
      </c>
      <c r="BV28" s="1">
        <f>0.5*($AX28+$AY28)+0.5*($AX28-$AY28)*COS(2*$BG28) + $AZ28*SIN(2*$BG28)</f>
        <v>8.926287441211306</v>
      </c>
      <c r="BW28" s="1">
        <f>0.5*($AX28+$AY28)-0.5*($AX28-$AY28)*COS(2*$BG28)-$AZ28*SIN(2*$BG28)</f>
        <v>1231.8377558815325</v>
      </c>
      <c r="BX28" s="15">
        <f xml:space="preserve"> - 0.5*($AX28-$AY28)*SIN(2*$BG28) + $AZ28*COS(2*$BG28)</f>
        <v>71.851604843252403</v>
      </c>
      <c r="BY28" s="15">
        <f>AR28</f>
        <v>7.2606310830371781</v>
      </c>
      <c r="BZ28" s="1">
        <f>0.5*($AS28+$AT28)+0.5*($AS28-$AT28)*COS(2*$BG28)</f>
        <v>35634.412487474066</v>
      </c>
      <c r="CA28" s="15">
        <f>0.5*($AS28+$AT28)-0.5*($AS28-$AT28)*COS(2*$BG28)</f>
        <v>31566.830505249527</v>
      </c>
      <c r="CB28" s="1">
        <f>$BC28*COS($BG28) + $BD28*SIN($BG28)</f>
        <v>22.733581026010782</v>
      </c>
      <c r="CC28" s="15">
        <f xml:space="preserve"> - $BC28*SIN($BG28) + $BD28*COS($BG28)</f>
        <v>332.40402983307558</v>
      </c>
      <c r="CD28" s="35">
        <f t="shared" si="27"/>
        <v>1.5968218000000001</v>
      </c>
      <c r="CF28" s="79">
        <f>$BS28*AF28</f>
        <v>2153.490841285497</v>
      </c>
      <c r="CG28" s="212">
        <f>$BS28*AE28</f>
        <v>243021.44143906835</v>
      </c>
      <c r="CH28" s="212">
        <f>BZ28*AD28</f>
        <v>25.343194161091553</v>
      </c>
      <c r="CI28" s="80">
        <f>CA28*AC28</f>
        <v>1803.2425658801772</v>
      </c>
      <c r="CJ28" s="114"/>
    </row>
    <row r="29" spans="1:113" ht="15" thickBot="1">
      <c r="A29" s="48">
        <f>NASA!BI30</f>
        <v>-3.5</v>
      </c>
      <c r="B29" s="155">
        <f>NASA!BJ30</f>
        <v>8.3057999999999993E-2</v>
      </c>
      <c r="C29" s="155">
        <f>NASA!BK30</f>
        <v>4.8539399999999996E-2</v>
      </c>
      <c r="D29" s="139">
        <f>NASA!BL30</f>
        <v>1.6001999999999998</v>
      </c>
      <c r="E29" s="84">
        <f>NASA!BM30</f>
        <v>0.29509561215022623</v>
      </c>
      <c r="F29" s="84">
        <f>NASA!BN30</f>
        <v>4239155.1993808998</v>
      </c>
      <c r="G29" s="84">
        <f>NASA!BO30</f>
        <v>7.2606310830371781</v>
      </c>
      <c r="H29" s="140">
        <f>NASA!BP30</f>
        <v>5.7124599999999998E-2</v>
      </c>
      <c r="I29" s="140">
        <f>NASA!BQ30</f>
        <v>7.1119999999999994E-4</v>
      </c>
      <c r="J29" s="140">
        <f>NASA!BR30</f>
        <v>6.0578999999999994E-2</v>
      </c>
      <c r="K29" s="140">
        <f>NASA!BS30</f>
        <v>4.3180000000000003E-4</v>
      </c>
      <c r="L29" s="140">
        <f>NASA!BT30</f>
        <v>5.7327799999999998E-2</v>
      </c>
      <c r="M29" s="140">
        <f>NASA!BU30</f>
        <v>5.0799999999999999E-4</v>
      </c>
      <c r="N29" s="84">
        <f>NASA!BV30</f>
        <v>4.6376204862403476</v>
      </c>
      <c r="O29" s="84">
        <f>NASA!BW30</f>
        <v>746.15181090500641</v>
      </c>
      <c r="P29" s="84">
        <f>NASA!BX30</f>
        <v>3.9316460805379183</v>
      </c>
      <c r="Q29" s="84">
        <f>NASA!BY30</f>
        <v>7.9623166913869995E-7</v>
      </c>
      <c r="R29" s="84">
        <f>NASA!BZ30</f>
        <v>1.3122253765134999E-4</v>
      </c>
      <c r="S29" s="84">
        <f>NASA!CA30</f>
        <v>5.4268303706659997E-7</v>
      </c>
      <c r="T29" s="5">
        <f>NASA!CB30</f>
        <v>24</v>
      </c>
      <c r="U29" s="161">
        <f t="shared" si="5"/>
        <v>1630444.3074541921</v>
      </c>
      <c r="V29" s="165">
        <v>40976.367678490002</v>
      </c>
      <c r="W29" s="249">
        <v>0.87</v>
      </c>
      <c r="X29" s="250">
        <v>0.77</v>
      </c>
      <c r="Z29" s="170">
        <f t="shared" si="6"/>
        <v>4.8539399999999996E-2</v>
      </c>
      <c r="AA29" s="157">
        <f t="shared" si="7"/>
        <v>6.0578999999999994E-2</v>
      </c>
      <c r="AB29" s="27">
        <f t="shared" si="8"/>
        <v>4.3180000000000003E-4</v>
      </c>
      <c r="AC29" s="27">
        <f t="shared" si="0"/>
        <v>5.7124599999999998E-2</v>
      </c>
      <c r="AD29" s="27">
        <f t="shared" si="1"/>
        <v>7.1119999999999994E-4</v>
      </c>
      <c r="AE29" s="27">
        <f t="shared" si="2"/>
        <v>5.7327799999999998E-2</v>
      </c>
      <c r="AF29" s="16">
        <f t="shared" si="3"/>
        <v>5.0799999999999999E-4</v>
      </c>
      <c r="AG29" s="13"/>
      <c r="AH29" s="66">
        <f t="shared" si="4"/>
        <v>-3.5</v>
      </c>
      <c r="AI29" s="217">
        <f t="shared" si="60"/>
        <v>-6.1086523819801536E-2</v>
      </c>
      <c r="AJ29" s="225">
        <f t="shared" si="61"/>
        <v>1.2043504478451057E-2</v>
      </c>
      <c r="AK29" s="226">
        <f t="shared" si="62"/>
        <v>-3.0400539062530054E-4</v>
      </c>
      <c r="AL29" s="226">
        <f t="shared" si="63"/>
        <v>8.6126045927286034E-3</v>
      </c>
      <c r="AM29" s="226">
        <f t="shared" si="64"/>
        <v>1.8575954702297842E-4</v>
      </c>
      <c r="AN29" s="226">
        <f t="shared" si="65"/>
        <v>8.8030205205344454E-3</v>
      </c>
      <c r="AO29" s="222">
        <f t="shared" si="66"/>
        <v>-2.9466507249827881E-5</v>
      </c>
      <c r="AP29" s="228" t="s">
        <v>296</v>
      </c>
      <c r="AQ29" s="11"/>
      <c r="AR29" s="71">
        <f t="shared" si="16"/>
        <v>7.2606310830371781</v>
      </c>
      <c r="AS29" s="70" cm="1">
        <f t="array" ref="AS29">W29 * _xlfn.IFS( $AT$4="P", $U29,  $AT$4="A", $V29)</f>
        <v>35649.4398802863</v>
      </c>
      <c r="AT29" s="70" cm="1">
        <f t="array" ref="AT29">X29 * _xlfn.IFS( $AT$4="P", $U29,  $AT$4="A", $V29)</f>
        <v>31551.803112437301</v>
      </c>
      <c r="AU29" s="184">
        <f t="shared" si="17"/>
        <v>8.2350419241567316E-7</v>
      </c>
      <c r="AV29" s="70">
        <f t="shared" si="18"/>
        <v>1.7402497584743227E-4</v>
      </c>
      <c r="AW29" s="16">
        <f t="shared" si="19"/>
        <v>-5.3774766039338057E-7</v>
      </c>
      <c r="AX29" s="27">
        <f t="shared" si="20"/>
        <v>4.6413012389309456</v>
      </c>
      <c r="AY29" s="27">
        <f t="shared" si="21"/>
        <v>1074.657386634964</v>
      </c>
      <c r="AZ29" s="68">
        <f t="shared" si="22"/>
        <v>2.832033520703968</v>
      </c>
      <c r="BA29" s="27">
        <f t="shared" si="23"/>
        <v>-124.91309741570284</v>
      </c>
      <c r="BB29" s="16">
        <f t="shared" si="24"/>
        <v>37317.370209880348</v>
      </c>
      <c r="BC29" s="27">
        <f t="shared" si="25"/>
        <v>6.6222238037848848</v>
      </c>
      <c r="BD29" s="68">
        <f t="shared" si="26"/>
        <v>271.74320439504612</v>
      </c>
      <c r="BF29" s="190">
        <f xml:space="preserve"> IF($BF$3=1, -A29, 0)</f>
        <v>3.5</v>
      </c>
      <c r="BG29" s="77">
        <f t="shared" si="53"/>
        <v>6.1086523819801536E-2</v>
      </c>
      <c r="BH29" s="36">
        <v>24</v>
      </c>
      <c r="BI29" s="85">
        <f t="shared" si="50"/>
        <v>1.6276087179880967</v>
      </c>
      <c r="BJ29" s="193">
        <f>D29</f>
        <v>1.6001999999999998</v>
      </c>
      <c r="BK29" s="199">
        <f>C29</f>
        <v>4.8539399999999996E-2</v>
      </c>
      <c r="BL29" s="87">
        <v>0</v>
      </c>
      <c r="BM29" s="71">
        <f>E29</f>
        <v>0.29509561215022623</v>
      </c>
      <c r="BN29" s="70">
        <f>AJ29</f>
        <v>1.2043504478451057E-2</v>
      </c>
      <c r="BO29" s="71">
        <f>AK29</f>
        <v>-3.0400539062530054E-4</v>
      </c>
      <c r="BP29" s="27">
        <f>0.5*($AU29+$AV29)+0.5*($AU29-$AV29)*COS(2*$BG29) + $AW29*SIN(2*$BG29)</f>
        <v>1.4034779907340641E-6</v>
      </c>
      <c r="BQ29" s="27">
        <f>0.5*($AU29+$AV29)-0.5*($AU29-$AV29)*COS(2*$BG29)-$AW29*SIN(2*$BG29)</f>
        <v>1.7344500204911388E-4</v>
      </c>
      <c r="BR29" s="16">
        <f xml:space="preserve"> - 0.5*($AU29-$AV29)*SIN(2*$BG29) + $AW29*COS(2*$BG29)</f>
        <v>1.002023544282349E-5</v>
      </c>
      <c r="BS29" s="70">
        <f>F29</f>
        <v>4239155.1993808998</v>
      </c>
      <c r="BT29" s="27">
        <f>$BA29*COS($BG29) + $BB29*SIN($BG29)</f>
        <v>2153.490841285497</v>
      </c>
      <c r="BU29" s="16">
        <f xml:space="preserve"> - $BA29*SIN($BG29) + $BB29*COS($BG29)</f>
        <v>37255.391554239104</v>
      </c>
      <c r="BV29" s="27">
        <f>0.5*($AX29+$AY29)+0.5*($AX29-$AY29)*COS(2*$BG29) + $AZ29*SIN(2*$BG29)</f>
        <v>8.9743081255447112</v>
      </c>
      <c r="BW29" s="27">
        <f>0.5*($AX29+$AY29)-0.5*($AX29-$AY29)*COS(2*$BG29)-$AZ29*SIN(2*$BG29)</f>
        <v>1070.3243797483503</v>
      </c>
      <c r="BX29" s="16">
        <f xml:space="preserve"> - 0.5*($AX29-$AY29)*SIN(2*$BG29) + $AZ29*COS(2*$BG29)</f>
        <v>68.012002852374337</v>
      </c>
      <c r="BY29" s="16">
        <f>AR29</f>
        <v>7.2606310830371781</v>
      </c>
      <c r="BZ29" s="27">
        <f>0.5*($AS29+$AT29)+0.5*($AS29-$AT29)*COS(2*$BG29)</f>
        <v>35634.168298738048</v>
      </c>
      <c r="CA29" s="16">
        <f>0.5*($AS29+$AT29)-0.5*($AS29-$AT29)*COS(2*$BG29)</f>
        <v>31567.074693985542</v>
      </c>
      <c r="CB29" s="27">
        <f>$BC29*COS($BG29) + $BD29*SIN($BG29)</f>
        <v>23.199397778334983</v>
      </c>
      <c r="CC29" s="16">
        <f xml:space="preserve"> - $BC29*SIN($BG29) + $BD29*COS($BG29)</f>
        <v>270.83207144966752</v>
      </c>
      <c r="CD29" s="37">
        <f t="shared" si="27"/>
        <v>1.6001999999999998</v>
      </c>
      <c r="CF29" s="81">
        <f>$BS29*AF29</f>
        <v>2153.490841285497</v>
      </c>
      <c r="CG29" s="65">
        <f>$BS29*AE29</f>
        <v>243021.44143906835</v>
      </c>
      <c r="CH29" s="65">
        <f>BZ29*AD29</f>
        <v>25.343020494062497</v>
      </c>
      <c r="CI29" s="82">
        <f>CA29*AC29</f>
        <v>1803.2565150640464</v>
      </c>
      <c r="CJ29" s="114"/>
    </row>
    <row r="57" spans="55:56">
      <c r="BC57" s="44"/>
      <c r="BD57" s="44"/>
    </row>
  </sheetData>
  <mergeCells count="27">
    <mergeCell ref="CF4:CI4"/>
    <mergeCell ref="BZ3:CC3"/>
    <mergeCell ref="CM3:CN3"/>
    <mergeCell ref="CP3:CQ3"/>
    <mergeCell ref="CF3:CI3"/>
    <mergeCell ref="AA3:AF3"/>
    <mergeCell ref="V2:V3"/>
    <mergeCell ref="AJ3:AO3"/>
    <mergeCell ref="BN3:BR3"/>
    <mergeCell ref="BT3:BX3"/>
    <mergeCell ref="AC2:AD2"/>
    <mergeCell ref="AE2:AF2"/>
    <mergeCell ref="A1:T1"/>
    <mergeCell ref="U1:X1"/>
    <mergeCell ref="CK1:DI1"/>
    <mergeCell ref="CX2:CY2"/>
    <mergeCell ref="BJ2:BO2"/>
    <mergeCell ref="BP2:BU2"/>
    <mergeCell ref="BV2:CA2"/>
    <mergeCell ref="Z1:AO1"/>
    <mergeCell ref="BF1:CD1"/>
    <mergeCell ref="AQ1:BD1"/>
    <mergeCell ref="CF1:CI1"/>
    <mergeCell ref="AJ2:AO2"/>
    <mergeCell ref="CL2:CW2"/>
    <mergeCell ref="CF2:CI2"/>
    <mergeCell ref="B2:T2"/>
  </mergeCells>
  <hyperlinks>
    <hyperlink ref="AE2" r:id="rId1" xr:uid="{D3EA646A-C27B-44AD-9E9F-97285D39FD3C}"/>
    <hyperlink ref="AC2" r:id="rId2" xr:uid="{3EF65C08-3062-4EB4-8D1A-6076FE67A58A}"/>
  </hyperlinks>
  <pageMargins left="0.7" right="0.7" top="0.75" bottom="0.75" header="0.3" footer="0.3"/>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A674E-C3D2-4EAB-8855-0852B05A86D1}">
  <dimension ref="A1:W114"/>
  <sheetViews>
    <sheetView zoomScale="55" zoomScaleNormal="55" workbookViewId="0">
      <selection activeCell="U48" sqref="U48"/>
    </sheetView>
  </sheetViews>
  <sheetFormatPr defaultRowHeight="14.4"/>
  <cols>
    <col min="1" max="1" width="7" bestFit="1" customWidth="1"/>
    <col min="2" max="2" width="9.21875" bestFit="1" customWidth="1"/>
    <col min="3" max="5" width="10.44140625" bestFit="1" customWidth="1"/>
    <col min="6" max="8" width="11.21875" bestFit="1" customWidth="1"/>
    <col min="9" max="9" width="10.77734375" bestFit="1" customWidth="1"/>
    <col min="10" max="10" width="11.21875" bestFit="1" customWidth="1"/>
    <col min="11" max="11" width="17.109375" bestFit="1" customWidth="1"/>
    <col min="12" max="12" width="13.6640625" bestFit="1" customWidth="1"/>
    <col min="13" max="13" width="15.21875" bestFit="1" customWidth="1"/>
    <col min="14" max="14" width="11.44140625" bestFit="1" customWidth="1"/>
    <col min="15" max="15" width="14" bestFit="1" customWidth="1"/>
    <col min="16" max="16" width="13" bestFit="1" customWidth="1"/>
    <col min="17" max="19" width="14" bestFit="1" customWidth="1"/>
    <col min="20" max="20" width="14.6640625" bestFit="1" customWidth="1"/>
    <col min="21" max="21" width="14" bestFit="1" customWidth="1"/>
    <col min="22" max="22" width="14" customWidth="1"/>
    <col min="23" max="23" width="9.33203125" bestFit="1" customWidth="1"/>
    <col min="24" max="24" width="16.77734375" bestFit="1" customWidth="1"/>
    <col min="25" max="25" width="9.33203125" bestFit="1" customWidth="1"/>
    <col min="26" max="27" width="14" bestFit="1" customWidth="1"/>
    <col min="28" max="28" width="15.109375" bestFit="1" customWidth="1"/>
    <col min="29" max="31" width="14" bestFit="1" customWidth="1"/>
    <col min="32" max="32" width="9.33203125" bestFit="1" customWidth="1"/>
  </cols>
  <sheetData>
    <row r="1" spans="1:22" ht="18">
      <c r="A1" s="94" t="s">
        <v>109</v>
      </c>
      <c r="B1" s="95">
        <v>1</v>
      </c>
    </row>
    <row r="3" spans="1:22">
      <c r="A3" s="51" t="str">
        <f>NASA_2_CORAL!CN5</f>
        <v>**num</v>
      </c>
      <c r="B3" s="50" t="str">
        <f>NASA_2_CORAL!CO5</f>
        <v>Y [span]</v>
      </c>
      <c r="C3" s="191" t="str">
        <f>NASA_2_CORAL!CP5</f>
        <v>X [swe]</v>
      </c>
      <c r="D3" s="50" t="str">
        <f>NASA_2_CORAL!CQ5</f>
        <v>Z [ben]</v>
      </c>
      <c r="E3" s="50" t="str">
        <f>NASA_2_CORAL!CR5</f>
        <v>m [kg/m]</v>
      </c>
      <c r="F3" s="191" t="str">
        <f>NASA_2_CORAL!CS5</f>
        <v>x_cg [m]</v>
      </c>
      <c r="G3" s="50" t="str">
        <f>NASA_2_CORAL!CT5</f>
        <v>z_cg [m]</v>
      </c>
      <c r="H3" s="191" t="str">
        <f>NASA_2_CORAL!CU5</f>
        <v>rIxx [kg*m]</v>
      </c>
      <c r="I3" s="191" t="str">
        <f>NASA_2_CORAL!CV5</f>
        <v>rIzz [kg*m]</v>
      </c>
      <c r="J3" s="50" t="str">
        <f>NASA_2_CORAL!CW5</f>
        <v>rIxz [kg*m]</v>
      </c>
      <c r="K3" s="191" t="str">
        <f>NASA_2_CORAL!CX5</f>
        <v>EA [N]</v>
      </c>
      <c r="L3" s="191" t="str">
        <f>NASA_2_CORAL!CY5</f>
        <v xml:space="preserve"> EAx [Nm]</v>
      </c>
      <c r="M3" s="50" t="str">
        <f>NASA_2_CORAL!CZ5</f>
        <v>EAz [Nm]</v>
      </c>
      <c r="N3" s="191" t="str">
        <f>NASA_2_CORAL!DA5</f>
        <v>EIxx [Nm^2]</v>
      </c>
      <c r="O3" s="191" t="str">
        <f>NASA_2_CORAL!DB5</f>
        <v>EIzz [Nm^2]</v>
      </c>
      <c r="P3" s="50" t="str">
        <f>NASA_2_CORAL!DC5</f>
        <v xml:space="preserve"> EIxz [Nm^2]</v>
      </c>
      <c r="Q3" s="50" t="str">
        <f>NASA_2_CORAL!DD5</f>
        <v>GJ [Nm^2]</v>
      </c>
      <c r="R3" s="191" t="str">
        <f>NASA_2_CORAL!DE5</f>
        <v>GxA [N]</v>
      </c>
      <c r="S3" s="191" t="str">
        <f>NASA_2_CORAL!DF5</f>
        <v>GzA [N]</v>
      </c>
      <c r="T3" s="191" t="str">
        <f>NASA_2_CORAL!DG5</f>
        <v>GxAX [Nm]</v>
      </c>
      <c r="U3" s="50" t="str">
        <f>NASA_2_CORAL!DH5</f>
        <v xml:space="preserve"> GzAZ [Nm]</v>
      </c>
      <c r="V3" s="52" t="str">
        <f>NASA_2_CORAL!DI5</f>
        <v>RR [m]</v>
      </c>
    </row>
    <row r="4" spans="1:22">
      <c r="A4" s="53">
        <f>NASA_2_CORAL!CN6</f>
        <v>1</v>
      </c>
      <c r="B4" s="208">
        <f>NASA_2_CORAL!CO6</f>
        <v>0</v>
      </c>
      <c r="C4" s="209">
        <f>NASA_2_CORAL!CP6</f>
        <v>0</v>
      </c>
      <c r="D4" s="209">
        <f>NASA_2_CORAL!CQ6</f>
        <v>0</v>
      </c>
      <c r="E4" s="210">
        <f>NASA_2_CORAL!CR6</f>
        <v>1</v>
      </c>
      <c r="F4" s="210">
        <f>NASA_2_CORAL!CS6</f>
        <v>0</v>
      </c>
      <c r="G4" s="210">
        <f>NASA_2_CORAL!CT6</f>
        <v>0</v>
      </c>
      <c r="H4" s="210">
        <f>NASA_2_CORAL!CU6</f>
        <v>0.1</v>
      </c>
      <c r="I4" s="210">
        <f>NASA_2_CORAL!CV6</f>
        <v>0.1</v>
      </c>
      <c r="J4" s="210">
        <f>NASA_2_CORAL!CW6</f>
        <v>0</v>
      </c>
      <c r="K4" s="210">
        <f>NASA_2_CORAL!CX6</f>
        <v>1000000000000</v>
      </c>
      <c r="L4" s="210">
        <f>NASA_2_CORAL!CY6</f>
        <v>0</v>
      </c>
      <c r="M4" s="210">
        <f>NASA_2_CORAL!CZ6</f>
        <v>0</v>
      </c>
      <c r="N4" s="210">
        <f>NASA_2_CORAL!DA6</f>
        <v>10000000000</v>
      </c>
      <c r="O4" s="210">
        <f>NASA_2_CORAL!DB6</f>
        <v>10000000000</v>
      </c>
      <c r="P4" s="210">
        <f>NASA_2_CORAL!DC6</f>
        <v>0</v>
      </c>
      <c r="Q4" s="210">
        <f>NASA_2_CORAL!DD6</f>
        <v>1000000000</v>
      </c>
      <c r="R4" s="210">
        <f>NASA_2_CORAL!DE6</f>
        <v>100000000000000</v>
      </c>
      <c r="S4" s="210">
        <f>NASA_2_CORAL!DF6</f>
        <v>100000000000000</v>
      </c>
      <c r="T4" s="210">
        <f>NASA_2_CORAL!DG6</f>
        <v>0</v>
      </c>
      <c r="U4" s="210">
        <f>NASA_2_CORAL!DH6</f>
        <v>0</v>
      </c>
      <c r="V4" s="200">
        <f>NASA_2_CORAL!DI6</f>
        <v>0</v>
      </c>
    </row>
    <row r="5" spans="1:22">
      <c r="A5" s="53">
        <f>NASA_2_CORAL!CN7</f>
        <v>2</v>
      </c>
      <c r="B5" s="208">
        <f>NASA_2_CORAL!CO7</f>
        <v>0.14729999999999999</v>
      </c>
      <c r="C5" s="211">
        <f>NASA_2_CORAL!CP7</f>
        <v>0</v>
      </c>
      <c r="D5" s="211">
        <f>NASA_2_CORAL!CQ7</f>
        <v>0</v>
      </c>
      <c r="E5" s="211">
        <f>NASA_2_CORAL!CR7</f>
        <v>2.0546376733824165</v>
      </c>
      <c r="F5" s="211">
        <f>NASA_2_CORAL!CS7</f>
        <v>3.2252276214677786E-2</v>
      </c>
      <c r="G5" s="211">
        <f>NASA_2_CORAL!CT7</f>
        <v>3.9547670556938658E-3</v>
      </c>
      <c r="H5" s="211">
        <f>NASA_2_CORAL!CU7</f>
        <v>9.3981097192989951E-5</v>
      </c>
      <c r="I5" s="211">
        <f>NASA_2_CORAL!CV7</f>
        <v>6.1375230444865236E-3</v>
      </c>
      <c r="J5" s="211">
        <f>NASA_2_CORAL!CW7</f>
        <v>-5.410590537688007E-4</v>
      </c>
      <c r="K5" s="211">
        <f>NASA_2_CORAL!CX7</f>
        <v>57826880.998899996</v>
      </c>
      <c r="L5" s="211">
        <f>NASA_2_CORAL!CY7</f>
        <v>-2937.6055547441197</v>
      </c>
      <c r="M5" s="211">
        <f>NASA_2_CORAL!CZ7</f>
        <v>-1468.8027773720598</v>
      </c>
      <c r="N5" s="211">
        <f>NASA_2_CORAL!DA7</f>
        <v>1198.2741064762447</v>
      </c>
      <c r="O5" s="211">
        <f>NASA_2_CORAL!DB7</f>
        <v>19920.473850878807</v>
      </c>
      <c r="P5" s="211">
        <f>NASA_2_CORAL!DC7</f>
        <v>-2656.3595999346385</v>
      </c>
      <c r="Q5" s="211">
        <f>NASA_2_CORAL!DD7</f>
        <v>786.32921610758365</v>
      </c>
      <c r="R5" s="211">
        <f>NASA_2_CORAL!DE7</f>
        <v>1815665.6178841188</v>
      </c>
      <c r="S5" s="211">
        <f>NASA_2_CORAL!DF7</f>
        <v>1614990.3360170943</v>
      </c>
      <c r="T5" s="211">
        <f>NASA_2_CORAL!DG7</f>
        <v>648.67647253792052</v>
      </c>
      <c r="U5" s="211">
        <f>NASA_2_CORAL!DH7</f>
        <v>5218.6369212505742</v>
      </c>
      <c r="V5" s="203">
        <f>NASA_2_CORAL!DI7</f>
        <v>0.14729999999999999</v>
      </c>
    </row>
    <row r="6" spans="1:22">
      <c r="A6" s="53">
        <f>NASA_2_CORAL!CN8</f>
        <v>3</v>
      </c>
      <c r="B6" s="208">
        <f>NASA_2_CORAL!CO8</f>
        <v>0.247</v>
      </c>
      <c r="C6" s="211">
        <f>NASA_2_CORAL!CP8</f>
        <v>0</v>
      </c>
      <c r="D6" s="211">
        <f>NASA_2_CORAL!CQ8</f>
        <v>0</v>
      </c>
      <c r="E6" s="211">
        <f>NASA_2_CORAL!CR8</f>
        <v>1.7475040575079039</v>
      </c>
      <c r="F6" s="211">
        <f>NASA_2_CORAL!CS8</f>
        <v>1.3771050446651601E-2</v>
      </c>
      <c r="G6" s="211">
        <f>NASA_2_CORAL!CT8</f>
        <v>2.0958298598977559E-3</v>
      </c>
      <c r="H6" s="211">
        <f>NASA_2_CORAL!CU8</f>
        <v>7.2424067327693696E-5</v>
      </c>
      <c r="I6" s="211">
        <f>NASA_2_CORAL!CV8</f>
        <v>3.5719288440171294E-3</v>
      </c>
      <c r="J6" s="211">
        <f>NASA_2_CORAL!CW8</f>
        <v>-3.5259324979273229E-4</v>
      </c>
      <c r="K6" s="211">
        <f>NASA_2_CORAL!CX8</f>
        <v>43730617.470660552</v>
      </c>
      <c r="L6" s="211">
        <f>NASA_2_CORAL!CY8</f>
        <v>17525.754600037177</v>
      </c>
      <c r="M6" s="211">
        <f>NASA_2_CORAL!CZ8</f>
        <v>-25089.585501490095</v>
      </c>
      <c r="N6" s="211">
        <f>NASA_2_CORAL!DA8</f>
        <v>1160.3360939908714</v>
      </c>
      <c r="O6" s="211">
        <f>NASA_2_CORAL!DB8</f>
        <v>15946.985960252125</v>
      </c>
      <c r="P6" s="211">
        <f>NASA_2_CORAL!DC8</f>
        <v>-2082.2898729734493</v>
      </c>
      <c r="Q6" s="211">
        <f>NASA_2_CORAL!DD8</f>
        <v>724.83720109701426</v>
      </c>
      <c r="R6" s="211">
        <f>NASA_2_CORAL!DE8</f>
        <v>1571103.6072682207</v>
      </c>
      <c r="S6" s="211">
        <f>NASA_2_CORAL!DF8</f>
        <v>1396791.9954196201</v>
      </c>
      <c r="T6" s="211">
        <f>NASA_2_CORAL!DG8</f>
        <v>1350.3031055751044</v>
      </c>
      <c r="U6" s="211">
        <f>NASA_2_CORAL!DH8</f>
        <v>2256.507332164299</v>
      </c>
      <c r="V6" s="203">
        <f>NASA_2_CORAL!DI8</f>
        <v>0.247</v>
      </c>
    </row>
    <row r="7" spans="1:22">
      <c r="A7" s="53">
        <f>NASA_2_CORAL!CN9</f>
        <v>4</v>
      </c>
      <c r="B7" s="208">
        <f>NASA_2_CORAL!CO9</f>
        <v>0.33189999999999997</v>
      </c>
      <c r="C7" s="211">
        <f>NASA_2_CORAL!CP9</f>
        <v>0</v>
      </c>
      <c r="D7" s="211">
        <f>NASA_2_CORAL!CQ9</f>
        <v>0</v>
      </c>
      <c r="E7" s="211">
        <f>NASA_2_CORAL!CR9</f>
        <v>1.4272803902216358</v>
      </c>
      <c r="F7" s="211">
        <f>NASA_2_CORAL!CS9</f>
        <v>-1.3639540604117521E-3</v>
      </c>
      <c r="G7" s="211">
        <f>NASA_2_CORAL!CT9</f>
        <v>1.215442594403445E-3</v>
      </c>
      <c r="H7" s="211">
        <f>NASA_2_CORAL!CU9</f>
        <v>6.0832524169738474E-5</v>
      </c>
      <c r="I7" s="211">
        <f>NASA_2_CORAL!CV9</f>
        <v>1.4777761575157891E-3</v>
      </c>
      <c r="J7" s="211">
        <f>NASA_2_CORAL!CW9</f>
        <v>-2.0623863762135255E-4</v>
      </c>
      <c r="K7" s="211">
        <f>NASA_2_CORAL!CX9</f>
        <v>28314802.52746474</v>
      </c>
      <c r="L7" s="211">
        <f>NASA_2_CORAL!CY9</f>
        <v>53636.742435705033</v>
      </c>
      <c r="M7" s="211">
        <f>NASA_2_CORAL!CZ9</f>
        <v>-36743.74636070172</v>
      </c>
      <c r="N7" s="211">
        <f>NASA_2_CORAL!DA9</f>
        <v>1285.9457838065698</v>
      </c>
      <c r="O7" s="211">
        <f>NASA_2_CORAL!DB9</f>
        <v>11528.52796317464</v>
      </c>
      <c r="P7" s="211">
        <f>NASA_2_CORAL!DC9</f>
        <v>-1520.0870881093442</v>
      </c>
      <c r="Q7" s="211">
        <f>NASA_2_CORAL!DD9</f>
        <v>619.04317568008526</v>
      </c>
      <c r="R7" s="211">
        <f>NASA_2_CORAL!DE9</f>
        <v>1189461.226680404</v>
      </c>
      <c r="S7" s="211">
        <f>NASA_2_CORAL!DF9</f>
        <v>1056638.1017075372</v>
      </c>
      <c r="T7" s="211">
        <f>NASA_2_CORAL!DG9</f>
        <v>3237.4953927887304</v>
      </c>
      <c r="U7" s="211">
        <f>NASA_2_CORAL!DH9</f>
        <v>797.18325228445258</v>
      </c>
      <c r="V7" s="203">
        <f>NASA_2_CORAL!DI9</f>
        <v>0.33189999999999997</v>
      </c>
    </row>
    <row r="8" spans="1:22">
      <c r="A8" s="53">
        <f>NASA_2_CORAL!CN10</f>
        <v>5</v>
      </c>
      <c r="B8" s="208">
        <f>NASA_2_CORAL!CO10</f>
        <v>0.41570000000000001</v>
      </c>
      <c r="C8" s="211">
        <f>NASA_2_CORAL!CP10</f>
        <v>0</v>
      </c>
      <c r="D8" s="211">
        <f>NASA_2_CORAL!CQ10</f>
        <v>0</v>
      </c>
      <c r="E8" s="211">
        <f>NASA_2_CORAL!CR10</f>
        <v>1.3074135342533242</v>
      </c>
      <c r="F8" s="211">
        <f>NASA_2_CORAL!CS10</f>
        <v>4.7520494648070908E-3</v>
      </c>
      <c r="G8" s="211">
        <f>NASA_2_CORAL!CT10</f>
        <v>1.8220516536187428E-3</v>
      </c>
      <c r="H8" s="211">
        <f>NASA_2_CORAL!CU10</f>
        <v>5.3215113644170976E-5</v>
      </c>
      <c r="I8" s="211">
        <f>NASA_2_CORAL!CV10</f>
        <v>1.4689834795215549E-3</v>
      </c>
      <c r="J8" s="211">
        <f>NASA_2_CORAL!CW10</f>
        <v>-1.5648311660777472E-4</v>
      </c>
      <c r="K8" s="211">
        <f>NASA_2_CORAL!CX10</f>
        <v>27798251.612222262</v>
      </c>
      <c r="L8" s="211">
        <f>NASA_2_CORAL!CY10</f>
        <v>63186.27637870326</v>
      </c>
      <c r="M8" s="211">
        <f>NASA_2_CORAL!CZ10</f>
        <v>-30044.869635113508</v>
      </c>
      <c r="N8" s="211">
        <f>NASA_2_CORAL!DA10</f>
        <v>1216.6269287800487</v>
      </c>
      <c r="O8" s="211">
        <f>NASA_2_CORAL!DB10</f>
        <v>11341.669342155874</v>
      </c>
      <c r="P8" s="211">
        <f>NASA_2_CORAL!DC10</f>
        <v>-1346.4804009598201</v>
      </c>
      <c r="Q8" s="211">
        <f>NASA_2_CORAL!DD10</f>
        <v>570.08231773200839</v>
      </c>
      <c r="R8" s="211">
        <f>NASA_2_CORAL!DE10</f>
        <v>1096684.6424604999</v>
      </c>
      <c r="S8" s="211">
        <f>NASA_2_CORAL!DF10</f>
        <v>973677.89181847253</v>
      </c>
      <c r="T8" s="211">
        <f>NASA_2_CORAL!DG10</f>
        <v>3315.9766092129021</v>
      </c>
      <c r="U8" s="211">
        <f>NASA_2_CORAL!DH10</f>
        <v>1173.0601274036683</v>
      </c>
      <c r="V8" s="203">
        <f>NASA_2_CORAL!DI10</f>
        <v>0.41570000000000001</v>
      </c>
    </row>
    <row r="9" spans="1:22">
      <c r="A9" s="53">
        <f>NASA_2_CORAL!CN11</f>
        <v>6</v>
      </c>
      <c r="B9" s="208">
        <f>NASA_2_CORAL!CO11</f>
        <v>0.50129999999999997</v>
      </c>
      <c r="C9" s="211">
        <f>NASA_2_CORAL!CP11</f>
        <v>0</v>
      </c>
      <c r="D9" s="211">
        <f>NASA_2_CORAL!CQ11</f>
        <v>0</v>
      </c>
      <c r="E9" s="211">
        <f>NASA_2_CORAL!CR11</f>
        <v>1.1849919329495515</v>
      </c>
      <c r="F9" s="211">
        <f>NASA_2_CORAL!CS11</f>
        <v>1.1459493261649972E-2</v>
      </c>
      <c r="G9" s="211">
        <f>NASA_2_CORAL!CT11</f>
        <v>2.434922798066598E-3</v>
      </c>
      <c r="H9" s="211">
        <f>NASA_2_CORAL!CU11</f>
        <v>4.4674954914784574E-5</v>
      </c>
      <c r="I9" s="211">
        <f>NASA_2_CORAL!CV11</f>
        <v>1.4692898509598279E-3</v>
      </c>
      <c r="J9" s="211">
        <f>NASA_2_CORAL!CW11</f>
        <v>-1.0331245403996722E-4</v>
      </c>
      <c r="K9" s="211">
        <f>NASA_2_CORAL!CX11</f>
        <v>27650161.261665121</v>
      </c>
      <c r="L9" s="211">
        <f>NASA_2_CORAL!CY11</f>
        <v>71688.926637598342</v>
      </c>
      <c r="M9" s="211">
        <f>NASA_2_CORAL!CZ11</f>
        <v>-23385.351879252605</v>
      </c>
      <c r="N9" s="211">
        <f>NASA_2_CORAL!DA11</f>
        <v>1128.3039411275518</v>
      </c>
      <c r="O9" s="211">
        <f>NASA_2_CORAL!DB11</f>
        <v>11260.87879559773</v>
      </c>
      <c r="P9" s="211">
        <f>NASA_2_CORAL!DC11</f>
        <v>-1172.5321394988136</v>
      </c>
      <c r="Q9" s="211">
        <f>NASA_2_CORAL!DD11</f>
        <v>522.31133244928583</v>
      </c>
      <c r="R9" s="211">
        <f>NASA_2_CORAL!DE11</f>
        <v>1013650.2376039129</v>
      </c>
      <c r="S9" s="211">
        <f>NASA_2_CORAL!DF11</f>
        <v>899383.03040394373</v>
      </c>
      <c r="T9" s="211">
        <f>NASA_2_CORAL!DG11</f>
        <v>3278.4499823542224</v>
      </c>
      <c r="U9" s="211">
        <f>NASA_2_CORAL!DH11</f>
        <v>1504.7327586487916</v>
      </c>
      <c r="V9" s="203">
        <f>NASA_2_CORAL!DI11</f>
        <v>0.50129999999999997</v>
      </c>
    </row>
    <row r="10" spans="1:22">
      <c r="A10" s="53">
        <f>NASA_2_CORAL!CN12</f>
        <v>7</v>
      </c>
      <c r="B10" s="208">
        <f>NASA_2_CORAL!CO12</f>
        <v>0.58499999999999996</v>
      </c>
      <c r="C10" s="211">
        <f>NASA_2_CORAL!CP12</f>
        <v>0</v>
      </c>
      <c r="D10" s="211">
        <f>NASA_2_CORAL!CQ12</f>
        <v>0</v>
      </c>
      <c r="E10" s="211">
        <f>NASA_2_CORAL!CR12</f>
        <v>1.0850754146040551</v>
      </c>
      <c r="F10" s="211">
        <f>NASA_2_CORAL!CS12</f>
        <v>1.6571721769626367E-2</v>
      </c>
      <c r="G10" s="211">
        <f>NASA_2_CORAL!CT12</f>
        <v>3.5126711700243524E-3</v>
      </c>
      <c r="H10" s="211">
        <f>NASA_2_CORAL!CU12</f>
        <v>4.1881123288962204E-5</v>
      </c>
      <c r="I10" s="211">
        <f>NASA_2_CORAL!CV12</f>
        <v>1.4667317430547436E-3</v>
      </c>
      <c r="J10" s="211">
        <f>NASA_2_CORAL!CW12</f>
        <v>-5.8591157140455896E-5</v>
      </c>
      <c r="K10" s="211">
        <f>NASA_2_CORAL!CX12</f>
        <v>27534491.798706997</v>
      </c>
      <c r="L10" s="211">
        <f>NASA_2_CORAL!CY12</f>
        <v>50003.586839392832</v>
      </c>
      <c r="M10" s="211">
        <f>NASA_2_CORAL!CZ12</f>
        <v>-17747.985531103499</v>
      </c>
      <c r="N10" s="211">
        <f>NASA_2_CORAL!DA12</f>
        <v>953.30322578800281</v>
      </c>
      <c r="O10" s="211">
        <f>NASA_2_CORAL!DB12</f>
        <v>11169.004590294024</v>
      </c>
      <c r="P10" s="211">
        <f>NASA_2_CORAL!DC12</f>
        <v>-1079.2602912215898</v>
      </c>
      <c r="Q10" s="211">
        <f>NASA_2_CORAL!DD12</f>
        <v>483.21044793475335</v>
      </c>
      <c r="R10" s="211">
        <f>NASA_2_CORAL!DE12</f>
        <v>944305.58954613423</v>
      </c>
      <c r="S10" s="211">
        <f>NASA_2_CORAL!DF12</f>
        <v>837286.65259652107</v>
      </c>
      <c r="T10" s="211">
        <f>NASA_2_CORAL!DG12</f>
        <v>2593.5712235339188</v>
      </c>
      <c r="U10" s="211">
        <f>NASA_2_CORAL!DH12</f>
        <v>1853.8640103468956</v>
      </c>
      <c r="V10" s="203">
        <f>NASA_2_CORAL!DI12</f>
        <v>0.58499999999999996</v>
      </c>
    </row>
    <row r="11" spans="1:22">
      <c r="A11" s="53">
        <f>NASA_2_CORAL!CN13</f>
        <v>8</v>
      </c>
      <c r="B11" s="208">
        <f>NASA_2_CORAL!CO13</f>
        <v>0.67030000000000001</v>
      </c>
      <c r="C11" s="211">
        <f>NASA_2_CORAL!CP13</f>
        <v>0</v>
      </c>
      <c r="D11" s="211">
        <f>NASA_2_CORAL!CQ13</f>
        <v>0</v>
      </c>
      <c r="E11" s="211">
        <f>NASA_2_CORAL!CR13</f>
        <v>1.3076441771233613</v>
      </c>
      <c r="F11" s="211">
        <f>NASA_2_CORAL!CS13</f>
        <v>4.2622114543198423E-3</v>
      </c>
      <c r="G11" s="211">
        <f>NASA_2_CORAL!CT13</f>
        <v>2.1020960396003724E-3</v>
      </c>
      <c r="H11" s="211">
        <f>NASA_2_CORAL!CU13</f>
        <v>4.2835491274295488E-5</v>
      </c>
      <c r="I11" s="211">
        <f>NASA_2_CORAL!CV13</f>
        <v>1.5008838774728842E-3</v>
      </c>
      <c r="J11" s="211">
        <f>NASA_2_CORAL!CW13</f>
        <v>-1.0745146991591675E-4</v>
      </c>
      <c r="K11" s="211">
        <f>NASA_2_CORAL!CX13</f>
        <v>26267252.251442503</v>
      </c>
      <c r="L11" s="211">
        <f>NASA_2_CORAL!CY13</f>
        <v>45424.736334852154</v>
      </c>
      <c r="M11" s="211">
        <f>NASA_2_CORAL!CZ13</f>
        <v>-28477.742454636395</v>
      </c>
      <c r="N11" s="211">
        <f>NASA_2_CORAL!DA13</f>
        <v>1033.8951933847698</v>
      </c>
      <c r="O11" s="211">
        <f>NASA_2_CORAL!DB13</f>
        <v>11141.741157778619</v>
      </c>
      <c r="P11" s="211">
        <f>NASA_2_CORAL!DC13</f>
        <v>-975.4288508640318</v>
      </c>
      <c r="Q11" s="211">
        <f>NASA_2_CORAL!DD13</f>
        <v>573.85648255386729</v>
      </c>
      <c r="R11" s="211">
        <f>NASA_2_CORAL!DE13</f>
        <v>1067506.5375236974</v>
      </c>
      <c r="S11" s="211">
        <f>NASA_2_CORAL!DF13</f>
        <v>946058.51916683861</v>
      </c>
      <c r="T11" s="211">
        <f>NASA_2_CORAL!DG13</f>
        <v>2914.8856744035338</v>
      </c>
      <c r="U11" s="211">
        <f>NASA_2_CORAL!DH13</f>
        <v>1179.5363361661368</v>
      </c>
      <c r="V11" s="203">
        <f>NASA_2_CORAL!DI13</f>
        <v>0.67030000000000001</v>
      </c>
    </row>
    <row r="12" spans="1:22">
      <c r="A12" s="53">
        <f>NASA_2_CORAL!CN14</f>
        <v>9</v>
      </c>
      <c r="B12" s="208">
        <f>NASA_2_CORAL!CO14</f>
        <v>0.75419999999999998</v>
      </c>
      <c r="C12" s="211">
        <f>NASA_2_CORAL!CP14</f>
        <v>0</v>
      </c>
      <c r="D12" s="211">
        <f>NASA_2_CORAL!CQ14</f>
        <v>0</v>
      </c>
      <c r="E12" s="211">
        <f>NASA_2_CORAL!CR14</f>
        <v>1.3926759075576065</v>
      </c>
      <c r="F12" s="211">
        <f>NASA_2_CORAL!CS14</f>
        <v>-1.2148883248137374E-3</v>
      </c>
      <c r="G12" s="211">
        <f>NASA_2_CORAL!CT14</f>
        <v>1.3253782627297428E-3</v>
      </c>
      <c r="H12" s="211">
        <f>NASA_2_CORAL!CU14</f>
        <v>4.0481293298776685E-5</v>
      </c>
      <c r="I12" s="211">
        <f>NASA_2_CORAL!CV14</f>
        <v>1.4985742546535779E-3</v>
      </c>
      <c r="J12" s="211">
        <f>NASA_2_CORAL!CW14</f>
        <v>-1.1858022349807841E-4</v>
      </c>
      <c r="K12" s="211">
        <f>NASA_2_CORAL!CX14</f>
        <v>24392303.838737138</v>
      </c>
      <c r="L12" s="211">
        <f>NASA_2_CORAL!CY14</f>
        <v>48326.032365306011</v>
      </c>
      <c r="M12" s="211">
        <f>NASA_2_CORAL!CZ14</f>
        <v>-25706.208958090385</v>
      </c>
      <c r="N12" s="211">
        <f>NASA_2_CORAL!DA14</f>
        <v>1039.1690894244634</v>
      </c>
      <c r="O12" s="211">
        <f>NASA_2_CORAL!DB14</f>
        <v>10718.948737935931</v>
      </c>
      <c r="P12" s="211">
        <f>NASA_2_CORAL!DC14</f>
        <v>-794.46921319387002</v>
      </c>
      <c r="Q12" s="211">
        <f>NASA_2_CORAL!DD14</f>
        <v>617.02369251457731</v>
      </c>
      <c r="R12" s="211">
        <f>NASA_2_CORAL!DE14</f>
        <v>1113378.9634880214</v>
      </c>
      <c r="S12" s="211">
        <f>NASA_2_CORAL!DF14</f>
        <v>986337.73716530961</v>
      </c>
      <c r="T12" s="211">
        <f>NASA_2_CORAL!DG14</f>
        <v>3188.7624600173622</v>
      </c>
      <c r="U12" s="211">
        <f>NASA_2_CORAL!DH14</f>
        <v>936.64884909864577</v>
      </c>
      <c r="V12" s="203">
        <f>NASA_2_CORAL!DI14</f>
        <v>0.75419999999999998</v>
      </c>
    </row>
    <row r="13" spans="1:22">
      <c r="A13" s="53">
        <f>NASA_2_CORAL!CN15</f>
        <v>10</v>
      </c>
      <c r="B13" s="208">
        <f>NASA_2_CORAL!CO15</f>
        <v>0.83819999999999995</v>
      </c>
      <c r="C13" s="211">
        <f>NASA_2_CORAL!CP15</f>
        <v>0</v>
      </c>
      <c r="D13" s="211">
        <f>NASA_2_CORAL!CQ15</f>
        <v>0</v>
      </c>
      <c r="E13" s="211">
        <f>NASA_2_CORAL!CR15</f>
        <v>1.4121669401241688</v>
      </c>
      <c r="F13" s="211">
        <f>NASA_2_CORAL!CS15</f>
        <v>-1.3621614988820517E-3</v>
      </c>
      <c r="G13" s="211">
        <f>NASA_2_CORAL!CT15</f>
        <v>1.4388538960367063E-3</v>
      </c>
      <c r="H13" s="211">
        <f>NASA_2_CORAL!CU15</f>
        <v>3.6726072873893471E-5</v>
      </c>
      <c r="I13" s="211">
        <f>NASA_2_CORAL!CV15</f>
        <v>1.5357401356254634E-3</v>
      </c>
      <c r="J13" s="211">
        <f>NASA_2_CORAL!CW15</f>
        <v>-9.7557842655720091E-5</v>
      </c>
      <c r="K13" s="211">
        <f>NASA_2_CORAL!CX15</f>
        <v>22470177.80752987</v>
      </c>
      <c r="L13" s="211">
        <f>NASA_2_CORAL!CY15</f>
        <v>45483.375883877699</v>
      </c>
      <c r="M13" s="211">
        <f>NASA_2_CORAL!CZ15</f>
        <v>1133.4444205416148</v>
      </c>
      <c r="N13" s="211">
        <f>NASA_2_CORAL!DA15</f>
        <v>846.87574484311119</v>
      </c>
      <c r="O13" s="211">
        <f>NASA_2_CORAL!DB15</f>
        <v>9768.4683100218954</v>
      </c>
      <c r="P13" s="211">
        <f>NASA_2_CORAL!DC15</f>
        <v>-538.02744464820273</v>
      </c>
      <c r="Q13" s="211">
        <f>NASA_2_CORAL!DD15</f>
        <v>532.60758798412144</v>
      </c>
      <c r="R13" s="211">
        <f>NASA_2_CORAL!DE15</f>
        <v>976219.02452924277</v>
      </c>
      <c r="S13" s="211">
        <f>NASA_2_CORAL!DF15</f>
        <v>864569.38225356396</v>
      </c>
      <c r="T13" s="211">
        <f>NASA_2_CORAL!DG15</f>
        <v>2795.1290916281109</v>
      </c>
      <c r="U13" s="211">
        <f>NASA_2_CORAL!DH15</f>
        <v>1253.5947577136394</v>
      </c>
      <c r="V13" s="203">
        <f>NASA_2_CORAL!DI15</f>
        <v>0.83819999999999995</v>
      </c>
    </row>
    <row r="14" spans="1:22">
      <c r="A14" s="53">
        <f>NASA_2_CORAL!CN16</f>
        <v>11</v>
      </c>
      <c r="B14" s="208">
        <f>NASA_2_CORAL!CO16</f>
        <v>0.92320000000000002</v>
      </c>
      <c r="C14" s="211">
        <f>NASA_2_CORAL!CP16</f>
        <v>0</v>
      </c>
      <c r="D14" s="211">
        <f>NASA_2_CORAL!CQ16</f>
        <v>0</v>
      </c>
      <c r="E14" s="211">
        <f>NASA_2_CORAL!CR16</f>
        <v>1.5066210071537691</v>
      </c>
      <c r="F14" s="211">
        <f>NASA_2_CORAL!CS16</f>
        <v>-1.7799068739209035E-4</v>
      </c>
      <c r="G14" s="211">
        <f>NASA_2_CORAL!CT16</f>
        <v>1.5976642408459317E-3</v>
      </c>
      <c r="H14" s="211">
        <f>NASA_2_CORAL!CU16</f>
        <v>3.8659951796950124E-5</v>
      </c>
      <c r="I14" s="211">
        <f>NASA_2_CORAL!CV16</f>
        <v>1.6512993674537065E-3</v>
      </c>
      <c r="J14" s="211">
        <f>NASA_2_CORAL!CW16</f>
        <v>-1.0268865001305723E-4</v>
      </c>
      <c r="K14" s="211">
        <f>NASA_2_CORAL!CX16</f>
        <v>21077407.373937417</v>
      </c>
      <c r="L14" s="211">
        <f>NASA_2_CORAL!CY16</f>
        <v>45420.063813543216</v>
      </c>
      <c r="M14" s="211">
        <f>NASA_2_CORAL!CZ16</f>
        <v>46490.79610813922</v>
      </c>
      <c r="N14" s="211">
        <f>NASA_2_CORAL!DA16</f>
        <v>537.9100590342656</v>
      </c>
      <c r="O14" s="211">
        <f>NASA_2_CORAL!DB16</f>
        <v>8526.8551614660719</v>
      </c>
      <c r="P14" s="211">
        <f>NASA_2_CORAL!DC16</f>
        <v>-222.5763746233481</v>
      </c>
      <c r="Q14" s="211">
        <f>NASA_2_CORAL!DD16</f>
        <v>332.4363668138991</v>
      </c>
      <c r="R14" s="211">
        <f>NASA_2_CORAL!DE16</f>
        <v>685397.7177819229</v>
      </c>
      <c r="S14" s="211">
        <f>NASA_2_CORAL!DF16</f>
        <v>606821.86678250995</v>
      </c>
      <c r="T14" s="211">
        <f>NASA_2_CORAL!DG16</f>
        <v>2066.5637796530418</v>
      </c>
      <c r="U14" s="211">
        <f>NASA_2_CORAL!DH16</f>
        <v>1827.5573255051081</v>
      </c>
      <c r="V14" s="203">
        <f>NASA_2_CORAL!DI16</f>
        <v>0.92320000000000002</v>
      </c>
    </row>
    <row r="15" spans="1:22">
      <c r="A15" s="53">
        <f>NASA_2_CORAL!CN17</f>
        <v>12</v>
      </c>
      <c r="B15" s="208">
        <f>NASA_2_CORAL!CO17</f>
        <v>1.0081</v>
      </c>
      <c r="C15" s="211">
        <f>NASA_2_CORAL!CP17</f>
        <v>0</v>
      </c>
      <c r="D15" s="211">
        <f>NASA_2_CORAL!CQ17</f>
        <v>0</v>
      </c>
      <c r="E15" s="211">
        <f>NASA_2_CORAL!CR17</f>
        <v>1.5070595005306422</v>
      </c>
      <c r="F15" s="211">
        <f>NASA_2_CORAL!CS17</f>
        <v>-4.4376929496324066E-3</v>
      </c>
      <c r="G15" s="211">
        <f>NASA_2_CORAL!CT17</f>
        <v>1.2473332488371783E-3</v>
      </c>
      <c r="H15" s="211">
        <f>NASA_2_CORAL!CU17</f>
        <v>2.8079966389456712E-5</v>
      </c>
      <c r="I15" s="211">
        <f>NASA_2_CORAL!CV17</f>
        <v>1.6115590391006585E-3</v>
      </c>
      <c r="J15" s="211">
        <f>NASA_2_CORAL!CW17</f>
        <v>-7.1384068779810819E-5</v>
      </c>
      <c r="K15" s="211">
        <f>NASA_2_CORAL!CX17</f>
        <v>20362089.46121813</v>
      </c>
      <c r="L15" s="211">
        <f>NASA_2_CORAL!CY17</f>
        <v>43856.025205533057</v>
      </c>
      <c r="M15" s="211">
        <f>NASA_2_CORAL!CZ17</f>
        <v>56820.223992959254</v>
      </c>
      <c r="N15" s="211">
        <f>NASA_2_CORAL!DA17</f>
        <v>453.91662846025116</v>
      </c>
      <c r="O15" s="211">
        <f>NASA_2_CORAL!DB17</f>
        <v>8013.4642549805931</v>
      </c>
      <c r="P15" s="211">
        <f>NASA_2_CORAL!DC17</f>
        <v>-65.455177019139143</v>
      </c>
      <c r="Q15" s="211">
        <f>NASA_2_CORAL!DD17</f>
        <v>279.75481215103724</v>
      </c>
      <c r="R15" s="211">
        <f>NASA_2_CORAL!DE17</f>
        <v>600527.14848011115</v>
      </c>
      <c r="S15" s="211">
        <f>NASA_2_CORAL!DF17</f>
        <v>531596.47234446229</v>
      </c>
      <c r="T15" s="211">
        <f>NASA_2_CORAL!DG17</f>
        <v>1725.0789399114963</v>
      </c>
      <c r="U15" s="211">
        <f>NASA_2_CORAL!DH17</f>
        <v>1852.9462643829249</v>
      </c>
      <c r="V15" s="203">
        <f>NASA_2_CORAL!DI17</f>
        <v>1.0081</v>
      </c>
    </row>
    <row r="16" spans="1:22">
      <c r="A16" s="53">
        <f>NASA_2_CORAL!CN18</f>
        <v>13</v>
      </c>
      <c r="B16" s="208">
        <f>NASA_2_CORAL!CO18</f>
        <v>1.0920000000000001</v>
      </c>
      <c r="C16" s="211">
        <f>NASA_2_CORAL!CP18</f>
        <v>0</v>
      </c>
      <c r="D16" s="211">
        <f>NASA_2_CORAL!CQ18</f>
        <v>0</v>
      </c>
      <c r="E16" s="211">
        <f>NASA_2_CORAL!CR18</f>
        <v>1.4180848400036565</v>
      </c>
      <c r="F16" s="211">
        <f>NASA_2_CORAL!CS18</f>
        <v>-6.4760649867955421E-3</v>
      </c>
      <c r="G16" s="211">
        <f>NASA_2_CORAL!CT18</f>
        <v>1.1280761177573531E-3</v>
      </c>
      <c r="H16" s="211">
        <f>NASA_2_CORAL!CU18</f>
        <v>1.8794008317397213E-5</v>
      </c>
      <c r="I16" s="211">
        <f>NASA_2_CORAL!CV18</f>
        <v>1.5071895104871863E-3</v>
      </c>
      <c r="J16" s="211">
        <f>NASA_2_CORAL!CW18</f>
        <v>-4.6970320100472332E-5</v>
      </c>
      <c r="K16" s="211">
        <f>NASA_2_CORAL!CX18</f>
        <v>18940326.334258877</v>
      </c>
      <c r="L16" s="211">
        <f>NASA_2_CORAL!CY18</f>
        <v>41791.220703837316</v>
      </c>
      <c r="M16" s="211">
        <f>NASA_2_CORAL!CZ18</f>
        <v>82359.49009715041</v>
      </c>
      <c r="N16" s="211">
        <f>NASA_2_CORAL!DA18</f>
        <v>312.66008996679409</v>
      </c>
      <c r="O16" s="211">
        <f>NASA_2_CORAL!DB18</f>
        <v>7215.0433561677701</v>
      </c>
      <c r="P16" s="211">
        <f>NASA_2_CORAL!DC18</f>
        <v>129.44784567403758</v>
      </c>
      <c r="Q16" s="211">
        <f>NASA_2_CORAL!DD18</f>
        <v>190.30726299731683</v>
      </c>
      <c r="R16" s="211">
        <f>NASA_2_CORAL!DE18</f>
        <v>435084.17256793776</v>
      </c>
      <c r="S16" s="211">
        <f>NASA_2_CORAL!DF18</f>
        <v>385090.34457640187</v>
      </c>
      <c r="T16" s="211">
        <f>NASA_2_CORAL!DG18</f>
        <v>1201.6037906452382</v>
      </c>
      <c r="U16" s="211">
        <f>NASA_2_CORAL!DH18</f>
        <v>2612.3240233424808</v>
      </c>
      <c r="V16" s="203">
        <f>NASA_2_CORAL!DI18</f>
        <v>1.0920000000000001</v>
      </c>
    </row>
    <row r="17" spans="1:22">
      <c r="A17" s="53">
        <f>NASA_2_CORAL!CN19</f>
        <v>14</v>
      </c>
      <c r="B17" s="208">
        <f>NASA_2_CORAL!CO19</f>
        <v>1.1758999999999999</v>
      </c>
      <c r="C17" s="211">
        <f>NASA_2_CORAL!CP19</f>
        <v>0</v>
      </c>
      <c r="D17" s="211">
        <f>NASA_2_CORAL!CQ19</f>
        <v>0</v>
      </c>
      <c r="E17" s="211">
        <f>NASA_2_CORAL!CR19</f>
        <v>1.2236783894940915</v>
      </c>
      <c r="F17" s="211">
        <f>NASA_2_CORAL!CS19</f>
        <v>1.7734140435041244E-5</v>
      </c>
      <c r="G17" s="211">
        <f>NASA_2_CORAL!CT19</f>
        <v>1.4190250946955398E-3</v>
      </c>
      <c r="H17" s="211">
        <f>NASA_2_CORAL!CU19</f>
        <v>1.8245418231199204E-5</v>
      </c>
      <c r="I17" s="211">
        <f>NASA_2_CORAL!CV19</f>
        <v>1.3411793013143459E-3</v>
      </c>
      <c r="J17" s="211">
        <f>NASA_2_CORAL!CW19</f>
        <v>-1.6717834792001519E-5</v>
      </c>
      <c r="K17" s="211">
        <f>NASA_2_CORAL!CX19</f>
        <v>18894276.245735459</v>
      </c>
      <c r="L17" s="211">
        <f>NASA_2_CORAL!CY19</f>
        <v>41752.571647826204</v>
      </c>
      <c r="M17" s="211">
        <f>NASA_2_CORAL!CZ19</f>
        <v>84464.972528935774</v>
      </c>
      <c r="N17" s="211">
        <f>NASA_2_CORAL!DA19</f>
        <v>305.85715484014747</v>
      </c>
      <c r="O17" s="211">
        <f>NASA_2_CORAL!DB19</f>
        <v>7207.784537149897</v>
      </c>
      <c r="P17" s="211">
        <f>NASA_2_CORAL!DC19</f>
        <v>216.96048259824661</v>
      </c>
      <c r="Q17" s="211">
        <f>NASA_2_CORAL!DD19</f>
        <v>186.33152179802639</v>
      </c>
      <c r="R17" s="211">
        <f>NASA_2_CORAL!DE19</f>
        <v>426445.66685777594</v>
      </c>
      <c r="S17" s="211">
        <f>NASA_2_CORAL!DF19</f>
        <v>377428.97496559744</v>
      </c>
      <c r="T17" s="211">
        <f>NASA_2_CORAL!DG19</f>
        <v>1186.5086990657298</v>
      </c>
      <c r="U17" s="211">
        <f>NASA_2_CORAL!DH19</f>
        <v>2686.6331328779038</v>
      </c>
      <c r="V17" s="203">
        <f>NASA_2_CORAL!DI19</f>
        <v>1.1758999999999999</v>
      </c>
    </row>
    <row r="18" spans="1:22">
      <c r="A18" s="53">
        <f>NASA_2_CORAL!CN20</f>
        <v>15</v>
      </c>
      <c r="B18" s="208">
        <f>NASA_2_CORAL!CO20</f>
        <v>1.2613000000000001</v>
      </c>
      <c r="C18" s="211">
        <f>NASA_2_CORAL!CP20</f>
        <v>0</v>
      </c>
      <c r="D18" s="211">
        <f>NASA_2_CORAL!CQ20</f>
        <v>0</v>
      </c>
      <c r="E18" s="211">
        <f>NASA_2_CORAL!CR20</f>
        <v>1.2830642987727099</v>
      </c>
      <c r="F18" s="211">
        <f>NASA_2_CORAL!CS20</f>
        <v>-2.4982796898985649E-3</v>
      </c>
      <c r="G18" s="211">
        <f>NASA_2_CORAL!CT20</f>
        <v>1.1743535146974311E-3</v>
      </c>
      <c r="H18" s="211">
        <f>NASA_2_CORAL!CU20</f>
        <v>1.4415944675758141E-5</v>
      </c>
      <c r="I18" s="211">
        <f>NASA_2_CORAL!CV20</f>
        <v>1.3598050068337687E-3</v>
      </c>
      <c r="J18" s="211">
        <f>NASA_2_CORAL!CW20</f>
        <v>8.767261299905913E-7</v>
      </c>
      <c r="K18" s="211">
        <f>NASA_2_CORAL!CX20</f>
        <v>17238929.742110338</v>
      </c>
      <c r="L18" s="211">
        <f>NASA_2_CORAL!CY20</f>
        <v>31086.157375432929</v>
      </c>
      <c r="M18" s="211">
        <f>NASA_2_CORAL!CZ20</f>
        <v>88565.924144660297</v>
      </c>
      <c r="N18" s="211">
        <f>NASA_2_CORAL!DA20</f>
        <v>218.1683615776497</v>
      </c>
      <c r="O18" s="211">
        <f>NASA_2_CORAL!DB20</f>
        <v>6821.9127384754647</v>
      </c>
      <c r="P18" s="211">
        <f>NASA_2_CORAL!DC20</f>
        <v>260.19373206026546</v>
      </c>
      <c r="Q18" s="211">
        <f>NASA_2_CORAL!DD20</f>
        <v>143.91695587557757</v>
      </c>
      <c r="R18" s="211">
        <f>NASA_2_CORAL!DE20</f>
        <v>328483.48768778367</v>
      </c>
      <c r="S18" s="211">
        <f>NASA_2_CORAL!DF20</f>
        <v>290739.89902961976</v>
      </c>
      <c r="T18" s="211">
        <f>NASA_2_CORAL!DG20</f>
        <v>771.9276739646084</v>
      </c>
      <c r="U18" s="211">
        <f>NASA_2_CORAL!DH20</f>
        <v>1823.1946998850851</v>
      </c>
      <c r="V18" s="203">
        <f>NASA_2_CORAL!DI20</f>
        <v>1.2613000000000001</v>
      </c>
    </row>
    <row r="19" spans="1:22">
      <c r="A19" s="53">
        <f>NASA_2_CORAL!CN21</f>
        <v>16</v>
      </c>
      <c r="B19" s="208">
        <f>NASA_2_CORAL!CO21</f>
        <v>1.3448</v>
      </c>
      <c r="C19" s="211">
        <f>NASA_2_CORAL!CP21</f>
        <v>0</v>
      </c>
      <c r="D19" s="211">
        <f>NASA_2_CORAL!CQ21</f>
        <v>0</v>
      </c>
      <c r="E19" s="211">
        <f>NASA_2_CORAL!CR21</f>
        <v>1.4489193299347267</v>
      </c>
      <c r="F19" s="211">
        <f>NASA_2_CORAL!CS21</f>
        <v>-8.1200455650608343E-3</v>
      </c>
      <c r="G19" s="211">
        <f>NASA_2_CORAL!CT21</f>
        <v>8.189242049122643E-4</v>
      </c>
      <c r="H19" s="211">
        <f>NASA_2_CORAL!CU21</f>
        <v>8.7522508538671893E-6</v>
      </c>
      <c r="I19" s="211">
        <f>NASA_2_CORAL!CV21</f>
        <v>1.4384189178592117E-3</v>
      </c>
      <c r="J19" s="211">
        <f>NASA_2_CORAL!CW21</f>
        <v>2.1903706994012931E-5</v>
      </c>
      <c r="K19" s="211">
        <f>NASA_2_CORAL!CX21</f>
        <v>14054961.873543644</v>
      </c>
      <c r="L19" s="211">
        <f>NASA_2_CORAL!CY21</f>
        <v>13446.51665427545</v>
      </c>
      <c r="M19" s="211">
        <f>NASA_2_CORAL!CZ21</f>
        <v>91306.079904700207</v>
      </c>
      <c r="N19" s="211">
        <f>NASA_2_CORAL!DA21</f>
        <v>92.096166573349123</v>
      </c>
      <c r="O19" s="211">
        <f>NASA_2_CORAL!DB21</f>
        <v>6075.0994726281997</v>
      </c>
      <c r="P19" s="211">
        <f>NASA_2_CORAL!DC21</f>
        <v>238.14380700878371</v>
      </c>
      <c r="Q19" s="211">
        <f>NASA_2_CORAL!DD21</f>
        <v>82.100150206068975</v>
      </c>
      <c r="R19" s="211">
        <f>NASA_2_CORAL!DE21</f>
        <v>179842.04809939186</v>
      </c>
      <c r="S19" s="211">
        <f>NASA_2_CORAL!DF21</f>
        <v>159192.64426205563</v>
      </c>
      <c r="T19" s="211">
        <f>NASA_2_CORAL!DG21</f>
        <v>285.53625638346085</v>
      </c>
      <c r="U19" s="211">
        <f>NASA_2_CORAL!DH21</f>
        <v>1220.7129095470477</v>
      </c>
      <c r="V19" s="203">
        <f>NASA_2_CORAL!DI21</f>
        <v>1.3448</v>
      </c>
    </row>
    <row r="20" spans="1:22">
      <c r="A20" s="53">
        <f>NASA_2_CORAL!CN22</f>
        <v>17</v>
      </c>
      <c r="B20" s="208">
        <f>NASA_2_CORAL!CO22</f>
        <v>1.4292</v>
      </c>
      <c r="C20" s="211">
        <f>NASA_2_CORAL!CP22</f>
        <v>0</v>
      </c>
      <c r="D20" s="211">
        <f>NASA_2_CORAL!CQ22</f>
        <v>0</v>
      </c>
      <c r="E20" s="211">
        <f>NASA_2_CORAL!CR22</f>
        <v>1.2792319464847908</v>
      </c>
      <c r="F20" s="211">
        <f>NASA_2_CORAL!CS22</f>
        <v>-4.533017083740278E-3</v>
      </c>
      <c r="G20" s="211">
        <f>NASA_2_CORAL!CT22</f>
        <v>9.6952338028980694E-4</v>
      </c>
      <c r="H20" s="211">
        <f>NASA_2_CORAL!CU22</f>
        <v>9.9189083631397951E-6</v>
      </c>
      <c r="I20" s="211">
        <f>NASA_2_CORAL!CV22</f>
        <v>1.3183225268815369E-3</v>
      </c>
      <c r="J20" s="211">
        <f>NASA_2_CORAL!CW22</f>
        <v>4.848138558146232E-5</v>
      </c>
      <c r="K20" s="211">
        <f>NASA_2_CORAL!CX22</f>
        <v>13833969.223582998</v>
      </c>
      <c r="L20" s="211">
        <f>NASA_2_CORAL!CY22</f>
        <v>12298.398639765284</v>
      </c>
      <c r="M20" s="211">
        <f>NASA_2_CORAL!CZ22</f>
        <v>91586.329728295997</v>
      </c>
      <c r="N20" s="211">
        <f>NASA_2_CORAL!DA22</f>
        <v>89.396798227126041</v>
      </c>
      <c r="O20" s="211">
        <f>NASA_2_CORAL!DB22</f>
        <v>6039.7366099443143</v>
      </c>
      <c r="P20" s="211">
        <f>NASA_2_CORAL!DC22</f>
        <v>298.09670275147062</v>
      </c>
      <c r="Q20" s="211">
        <f>NASA_2_CORAL!DD22</f>
        <v>78.345940145025665</v>
      </c>
      <c r="R20" s="211">
        <f>NASA_2_CORAL!DE22</f>
        <v>170018.010628121</v>
      </c>
      <c r="S20" s="211">
        <f>NASA_2_CORAL!DF22</f>
        <v>150526.8317893419</v>
      </c>
      <c r="T20" s="211">
        <f>NASA_2_CORAL!DG22</f>
        <v>254.9561891521127</v>
      </c>
      <c r="U20" s="211">
        <f>NASA_2_CORAL!DH22</f>
        <v>1208.2091660079498</v>
      </c>
      <c r="V20" s="203">
        <f>NASA_2_CORAL!DI22</f>
        <v>1.4292</v>
      </c>
    </row>
    <row r="21" spans="1:22">
      <c r="A21" s="53">
        <f>NASA_2_CORAL!CN23</f>
        <v>18</v>
      </c>
      <c r="B21" s="208">
        <f>NASA_2_CORAL!CO23</f>
        <v>1.482</v>
      </c>
      <c r="C21" s="211">
        <f>NASA_2_CORAL!CP23</f>
        <v>0</v>
      </c>
      <c r="D21" s="211">
        <f>NASA_2_CORAL!CQ23</f>
        <v>0</v>
      </c>
      <c r="E21" s="211">
        <f>NASA_2_CORAL!CR23</f>
        <v>1.2000401740776856</v>
      </c>
      <c r="F21" s="211">
        <f>NASA_2_CORAL!CS23</f>
        <v>-1.7425580650707218E-3</v>
      </c>
      <c r="G21" s="211">
        <f>NASA_2_CORAL!CT23</f>
        <v>5.3503309420411724E-4</v>
      </c>
      <c r="H21" s="211">
        <f>NASA_2_CORAL!CU23</f>
        <v>8.7090800948928043E-6</v>
      </c>
      <c r="I21" s="211">
        <f>NASA_2_CORAL!CV23</f>
        <v>1.2623428560719142E-3</v>
      </c>
      <c r="J21" s="211">
        <f>NASA_2_CORAL!CW23</f>
        <v>4.1223938249966959E-5</v>
      </c>
      <c r="K21" s="211">
        <f>NASA_2_CORAL!CX23</f>
        <v>13878613.8380544</v>
      </c>
      <c r="L21" s="211">
        <f>NASA_2_CORAL!CY23</f>
        <v>12339.378801141302</v>
      </c>
      <c r="M21" s="211">
        <f>NASA_2_CORAL!CZ23</f>
        <v>92015.920271774405</v>
      </c>
      <c r="N21" s="211">
        <f>NASA_2_CORAL!DA23</f>
        <v>92.924600605738817</v>
      </c>
      <c r="O21" s="211">
        <f>NASA_2_CORAL!DB23</f>
        <v>6051.0083568361106</v>
      </c>
      <c r="P21" s="211">
        <f>NASA_2_CORAL!DC23</f>
        <v>339.04075216725471</v>
      </c>
      <c r="Q21" s="211">
        <f>NASA_2_CORAL!DD23</f>
        <v>79.21002772919671</v>
      </c>
      <c r="R21" s="211">
        <f>NASA_2_CORAL!DE23</f>
        <v>171695.12268481535</v>
      </c>
      <c r="S21" s="211">
        <f>NASA_2_CORAL!DF23</f>
        <v>152031.77071000138</v>
      </c>
      <c r="T21" s="211">
        <f>NASA_2_CORAL!DG23</f>
        <v>258.88869128294493</v>
      </c>
      <c r="U21" s="211">
        <f>NASA_2_CORAL!DH23</f>
        <v>1265.4877141292075</v>
      </c>
      <c r="V21" s="203">
        <f>NASA_2_CORAL!DI23</f>
        <v>1.482</v>
      </c>
    </row>
    <row r="22" spans="1:22">
      <c r="A22" s="53">
        <f>NASA_2_CORAL!CN24</f>
        <v>19</v>
      </c>
      <c r="B22" s="208">
        <f>NASA_2_CORAL!CO24</f>
        <v>1.5161</v>
      </c>
      <c r="C22" s="211">
        <f>NASA_2_CORAL!CP24</f>
        <v>0</v>
      </c>
      <c r="D22" s="211">
        <f>NASA_2_CORAL!CQ24</f>
        <v>0</v>
      </c>
      <c r="E22" s="211">
        <f>NASA_2_CORAL!CR24</f>
        <v>1.0598026820632047</v>
      </c>
      <c r="F22" s="211">
        <f>NASA_2_CORAL!CS24</f>
        <v>3.9091937915035103E-3</v>
      </c>
      <c r="G22" s="211">
        <f>NASA_2_CORAL!CT24</f>
        <v>4.3307636108691017E-4</v>
      </c>
      <c r="H22" s="211">
        <f>NASA_2_CORAL!CU24</f>
        <v>7.9254360412785605E-6</v>
      </c>
      <c r="I22" s="211">
        <f>NASA_2_CORAL!CV24</f>
        <v>1.2016793447934503E-3</v>
      </c>
      <c r="J22" s="211">
        <f>NASA_2_CORAL!CW24</f>
        <v>3.965657500243518E-5</v>
      </c>
      <c r="K22" s="211">
        <f>NASA_2_CORAL!CX24</f>
        <v>11769111.766538538</v>
      </c>
      <c r="L22" s="211">
        <f>NASA_2_CORAL!CY24</f>
        <v>10282.245581751797</v>
      </c>
      <c r="M22" s="211">
        <f>NASA_2_CORAL!CZ24</f>
        <v>81264.035475472963</v>
      </c>
      <c r="N22" s="211">
        <f>NASA_2_CORAL!DA24</f>
        <v>74.006486078706629</v>
      </c>
      <c r="O22" s="211">
        <f>NASA_2_CORAL!DB24</f>
        <v>5006.3962150544103</v>
      </c>
      <c r="P22" s="211">
        <f>NASA_2_CORAL!DC24</f>
        <v>289.06158688730085</v>
      </c>
      <c r="Q22" s="211">
        <f>NASA_2_CORAL!DD24</f>
        <v>62.116831773514463</v>
      </c>
      <c r="R22" s="211">
        <f>NASA_2_CORAL!DE24</f>
        <v>135310.77686918364</v>
      </c>
      <c r="S22" s="211">
        <f>NASA_2_CORAL!DF24</f>
        <v>119821.31247717874</v>
      </c>
      <c r="T22" s="211">
        <f>NASA_2_CORAL!DG24</f>
        <v>212.47416036079775</v>
      </c>
      <c r="U22" s="211">
        <f>NASA_2_CORAL!DH24</f>
        <v>978.77493140658521</v>
      </c>
      <c r="V22" s="203">
        <f>NASA_2_CORAL!DI24</f>
        <v>1.5161</v>
      </c>
    </row>
    <row r="23" spans="1:22">
      <c r="A23" s="53">
        <f>NASA_2_CORAL!CN25</f>
        <v>20</v>
      </c>
      <c r="B23" s="208">
        <f>NASA_2_CORAL!CO25</f>
        <v>1.5490999999999999</v>
      </c>
      <c r="C23" s="211">
        <f>NASA_2_CORAL!CP25</f>
        <v>1.9099999999999999E-2</v>
      </c>
      <c r="D23" s="211">
        <f>NASA_2_CORAL!CQ25</f>
        <v>0</v>
      </c>
      <c r="E23" s="211">
        <f>NASA_2_CORAL!CR25</f>
        <v>0.73476911295717273</v>
      </c>
      <c r="F23" s="211">
        <f>NASA_2_CORAL!CS25</f>
        <v>6.554835312507193E-3</v>
      </c>
      <c r="G23" s="211">
        <f>NASA_2_CORAL!CT25</f>
        <v>2.0857441642095089E-4</v>
      </c>
      <c r="H23" s="211">
        <f>NASA_2_CORAL!CU25</f>
        <v>5.1734507703686521E-6</v>
      </c>
      <c r="I23" s="211">
        <f>NASA_2_CORAL!CV25</f>
        <v>7.4464292864968092E-4</v>
      </c>
      <c r="J23" s="211">
        <f>NASA_2_CORAL!CW25</f>
        <v>2.8510050181947034E-5</v>
      </c>
      <c r="K23" s="211">
        <f>NASA_2_CORAL!CX25</f>
        <v>8807902.7895793393</v>
      </c>
      <c r="L23" s="211">
        <f>NASA_2_CORAL!CY25</f>
        <v>6915.3654591235327</v>
      </c>
      <c r="M23" s="211">
        <f>NASA_2_CORAL!CZ25</f>
        <v>62686.675264513899</v>
      </c>
      <c r="N23" s="211">
        <f>NASA_2_CORAL!DA25</f>
        <v>45.38993238672397</v>
      </c>
      <c r="O23" s="211">
        <f>NASA_2_CORAL!DB25</f>
        <v>3326.2989424445541</v>
      </c>
      <c r="P23" s="211">
        <f>NASA_2_CORAL!DC25</f>
        <v>200.07923692342041</v>
      </c>
      <c r="Q23" s="211">
        <f>NASA_2_CORAL!DD25</f>
        <v>37.436678685700528</v>
      </c>
      <c r="R23" s="211">
        <f>NASA_2_CORAL!DE25</f>
        <v>88545.635618162894</v>
      </c>
      <c r="S23" s="211">
        <f>NASA_2_CORAL!DF25</f>
        <v>78414.939388306782</v>
      </c>
      <c r="T23" s="211">
        <f>NASA_2_CORAL!DG25</f>
        <v>124.93133121968052</v>
      </c>
      <c r="U23" s="211">
        <f>NASA_2_CORAL!DH25</f>
        <v>525.28371428097478</v>
      </c>
      <c r="V23" s="203">
        <f>NASA_2_CORAL!DI25</f>
        <v>1.5490999999999999</v>
      </c>
    </row>
    <row r="24" spans="1:22">
      <c r="A24" s="53">
        <f>NASA_2_CORAL!CN26</f>
        <v>21</v>
      </c>
      <c r="B24" s="208">
        <f>NASA_2_CORAL!CO26</f>
        <v>1.5824</v>
      </c>
      <c r="C24" s="211">
        <f>NASA_2_CORAL!CP26</f>
        <v>3.8199999999999998E-2</v>
      </c>
      <c r="D24" s="211">
        <f>NASA_2_CORAL!CQ26</f>
        <v>0</v>
      </c>
      <c r="E24" s="211">
        <f>NASA_2_CORAL!CR26</f>
        <v>0.40678069322290245</v>
      </c>
      <c r="F24" s="211">
        <f>NASA_2_CORAL!CS26</f>
        <v>9.2245281200654689E-3</v>
      </c>
      <c r="G24" s="211">
        <f>NASA_2_CORAL!CT26</f>
        <v>-1.7968455014700114E-5</v>
      </c>
      <c r="H24" s="211">
        <f>NASA_2_CORAL!CU26</f>
        <v>2.3964474515413658E-6</v>
      </c>
      <c r="I24" s="211">
        <f>NASA_2_CORAL!CV26</f>
        <v>2.8345163599551113E-4</v>
      </c>
      <c r="J24" s="211">
        <f>NASA_2_CORAL!CW26</f>
        <v>1.726219331763621E-5</v>
      </c>
      <c r="K24" s="211">
        <f>NASA_2_CORAL!CX26</f>
        <v>5819773.7310114065</v>
      </c>
      <c r="L24" s="211">
        <f>NASA_2_CORAL!CY26</f>
        <v>3517.8773353804481</v>
      </c>
      <c r="M24" s="211">
        <f>NASA_2_CORAL!CZ26</f>
        <v>43940.42996072783</v>
      </c>
      <c r="N24" s="211">
        <f>NASA_2_CORAL!DA26</f>
        <v>16.51322820663222</v>
      </c>
      <c r="O24" s="211">
        <f>NASA_2_CORAL!DB26</f>
        <v>1630.9280582655092</v>
      </c>
      <c r="P24" s="211">
        <f>NASA_2_CORAL!DC26</f>
        <v>110.28795650532237</v>
      </c>
      <c r="Q24" s="211">
        <f>NASA_2_CORAL!DD26</f>
        <v>12.532160569815417</v>
      </c>
      <c r="R24" s="211">
        <f>NASA_2_CORAL!DE26</f>
        <v>41355.356719405361</v>
      </c>
      <c r="S24" s="211">
        <f>NASA_2_CORAL!DF26</f>
        <v>36632.144725899387</v>
      </c>
      <c r="T24" s="211">
        <f>NASA_2_CORAL!DG26</f>
        <v>36.59265817727993</v>
      </c>
      <c r="U24" s="211">
        <f>NASA_2_CORAL!DH26</f>
        <v>67.669849726947177</v>
      </c>
      <c r="V24" s="203">
        <f>NASA_2_CORAL!DI26</f>
        <v>1.5824</v>
      </c>
    </row>
    <row r="25" spans="1:22" ht="15" thickBot="1">
      <c r="A25" s="57">
        <f>NASA_2_CORAL!CN27</f>
        <v>22</v>
      </c>
      <c r="B25" s="201">
        <f>NASA_2_CORAL!CO27</f>
        <v>1.6002000000000001</v>
      </c>
      <c r="C25" s="202">
        <f>NASA_2_CORAL!CP27</f>
        <v>4.8539399999999996E-2</v>
      </c>
      <c r="D25" s="202">
        <f>NASA_2_CORAL!CQ27</f>
        <v>0</v>
      </c>
      <c r="E25" s="202">
        <f>NASA_2_CORAL!CR27</f>
        <v>0.29509561215022628</v>
      </c>
      <c r="F25" s="202">
        <f>NASA_2_CORAL!CS27</f>
        <v>1.2043504478451058E-2</v>
      </c>
      <c r="G25" s="202">
        <f>NASA_2_CORAL!CT27</f>
        <v>-3.0400539062530059E-4</v>
      </c>
      <c r="H25" s="202">
        <f>NASA_2_CORAL!CU27</f>
        <v>1.4034779907340644E-6</v>
      </c>
      <c r="I25" s="202">
        <f>NASA_2_CORAL!CV27</f>
        <v>1.7344500204911391E-4</v>
      </c>
      <c r="J25" s="202">
        <f>NASA_2_CORAL!CW27</f>
        <v>1.0020235442823492E-5</v>
      </c>
      <c r="K25" s="202">
        <f>NASA_2_CORAL!CX27</f>
        <v>4239155.1993809007</v>
      </c>
      <c r="L25" s="202">
        <f>NASA_2_CORAL!CY27</f>
        <v>2153.4908412854975</v>
      </c>
      <c r="M25" s="202">
        <f>NASA_2_CORAL!CZ27</f>
        <v>37255.391554239111</v>
      </c>
      <c r="N25" s="202">
        <f>NASA_2_CORAL!DA27</f>
        <v>8.974308125544713</v>
      </c>
      <c r="O25" s="202">
        <f>NASA_2_CORAL!DB27</f>
        <v>1070.3243797483506</v>
      </c>
      <c r="P25" s="202">
        <f>NASA_2_CORAL!DC27</f>
        <v>68.012002852374351</v>
      </c>
      <c r="Q25" s="202">
        <f>NASA_2_CORAL!DD27</f>
        <v>7.260631083037179</v>
      </c>
      <c r="R25" s="202">
        <f>NASA_2_CORAL!DE27</f>
        <v>35634.168298738055</v>
      </c>
      <c r="S25" s="202">
        <f>NASA_2_CORAL!DF27</f>
        <v>31567.074693985545</v>
      </c>
      <c r="T25" s="202">
        <f>NASA_2_CORAL!DG27</f>
        <v>23.199397778334987</v>
      </c>
      <c r="U25" s="202">
        <f>NASA_2_CORAL!DH27</f>
        <v>270.83207144966758</v>
      </c>
      <c r="V25" s="204">
        <f>NASA_2_CORAL!DI27</f>
        <v>1.6002000000000001</v>
      </c>
    </row>
    <row r="33" spans="1:22" ht="16.2" customHeight="1"/>
    <row r="34" spans="1:22" ht="16.2" customHeight="1"/>
    <row r="36" spans="1:22" ht="15" thickBot="1"/>
    <row r="37" spans="1:22">
      <c r="A37" s="115" t="str">
        <f>A3</f>
        <v>**num</v>
      </c>
      <c r="B37" s="116" t="str">
        <f t="shared" ref="B37:V37" si="0">B3</f>
        <v>Y [span]</v>
      </c>
      <c r="C37" s="205" t="str">
        <f t="shared" si="0"/>
        <v>X [swe]</v>
      </c>
      <c r="D37" s="116" t="str">
        <f t="shared" si="0"/>
        <v>Z [ben]</v>
      </c>
      <c r="E37" s="116" t="str">
        <f t="shared" si="0"/>
        <v>m [kg/m]</v>
      </c>
      <c r="F37" s="205" t="str">
        <f t="shared" si="0"/>
        <v>x_cg [m]</v>
      </c>
      <c r="G37" s="116" t="str">
        <f t="shared" si="0"/>
        <v>z_cg [m]</v>
      </c>
      <c r="H37" s="205" t="str">
        <f t="shared" si="0"/>
        <v>rIxx [kg*m]</v>
      </c>
      <c r="I37" s="205" t="str">
        <f t="shared" si="0"/>
        <v>rIzz [kg*m]</v>
      </c>
      <c r="J37" s="116" t="str">
        <f t="shared" si="0"/>
        <v>rIxz [kg*m]</v>
      </c>
      <c r="K37" s="205" t="str">
        <f t="shared" si="0"/>
        <v>EA [N]</v>
      </c>
      <c r="L37" s="205" t="str">
        <f t="shared" si="0"/>
        <v xml:space="preserve"> EAx [Nm]</v>
      </c>
      <c r="M37" s="116" t="str">
        <f t="shared" si="0"/>
        <v>EAz [Nm]</v>
      </c>
      <c r="N37" s="205" t="str">
        <f t="shared" si="0"/>
        <v>EIxx [Nm^2]</v>
      </c>
      <c r="O37" s="205" t="str">
        <f t="shared" si="0"/>
        <v>EIzz [Nm^2]</v>
      </c>
      <c r="P37" s="116" t="str">
        <f t="shared" si="0"/>
        <v xml:space="preserve"> EIxz [Nm^2]</v>
      </c>
      <c r="Q37" s="116" t="str">
        <f t="shared" si="0"/>
        <v>GJ [Nm^2]</v>
      </c>
      <c r="R37" s="205" t="str">
        <f t="shared" si="0"/>
        <v>GxA [N]</v>
      </c>
      <c r="S37" s="205" t="str">
        <f t="shared" si="0"/>
        <v>GzA [N]</v>
      </c>
      <c r="T37" s="205" t="str">
        <f t="shared" si="0"/>
        <v>GxAX [Nm]</v>
      </c>
      <c r="U37" s="116" t="str">
        <f t="shared" si="0"/>
        <v xml:space="preserve"> GzAZ [Nm]</v>
      </c>
      <c r="V37" s="117" t="str">
        <f t="shared" si="0"/>
        <v>RR [m]</v>
      </c>
    </row>
    <row r="38" spans="1:22">
      <c r="A38" s="53">
        <f t="shared" ref="A38:V38" si="1">A4</f>
        <v>1</v>
      </c>
      <c r="B38" s="54">
        <f t="shared" si="1"/>
        <v>0</v>
      </c>
      <c r="C38" s="54">
        <f t="shared" si="1"/>
        <v>0</v>
      </c>
      <c r="D38" s="54">
        <f t="shared" si="1"/>
        <v>0</v>
      </c>
      <c r="E38" s="54">
        <f t="shared" si="1"/>
        <v>1</v>
      </c>
      <c r="F38" s="54">
        <f t="shared" si="1"/>
        <v>0</v>
      </c>
      <c r="G38" s="54">
        <f t="shared" si="1"/>
        <v>0</v>
      </c>
      <c r="H38" s="54">
        <f t="shared" si="1"/>
        <v>0.1</v>
      </c>
      <c r="I38" s="54">
        <f t="shared" si="1"/>
        <v>0.1</v>
      </c>
      <c r="J38" s="54">
        <f t="shared" si="1"/>
        <v>0</v>
      </c>
      <c r="K38" s="55">
        <f t="shared" si="1"/>
        <v>1000000000000</v>
      </c>
      <c r="L38" s="56">
        <f t="shared" si="1"/>
        <v>0</v>
      </c>
      <c r="M38" s="55">
        <f t="shared" si="1"/>
        <v>0</v>
      </c>
      <c r="N38" s="56">
        <f t="shared" si="1"/>
        <v>10000000000</v>
      </c>
      <c r="O38" s="55">
        <f t="shared" si="1"/>
        <v>10000000000</v>
      </c>
      <c r="P38" s="56">
        <f t="shared" si="1"/>
        <v>0</v>
      </c>
      <c r="Q38" s="55">
        <f t="shared" si="1"/>
        <v>1000000000</v>
      </c>
      <c r="R38" s="56">
        <f t="shared" si="1"/>
        <v>100000000000000</v>
      </c>
      <c r="S38" s="55">
        <f t="shared" si="1"/>
        <v>100000000000000</v>
      </c>
      <c r="T38" s="55">
        <f t="shared" si="1"/>
        <v>0</v>
      </c>
      <c r="U38" s="55">
        <f t="shared" si="1"/>
        <v>0</v>
      </c>
      <c r="V38" s="206">
        <f t="shared" si="1"/>
        <v>0</v>
      </c>
    </row>
    <row r="39" spans="1:22">
      <c r="A39" s="53"/>
      <c r="B39" s="54">
        <f>B40</f>
        <v>0.14729999999999999</v>
      </c>
      <c r="C39" s="54">
        <f>C38</f>
        <v>0</v>
      </c>
      <c r="D39" s="54">
        <f t="shared" ref="D39:U39" si="2">D38</f>
        <v>0</v>
      </c>
      <c r="E39" s="54">
        <f t="shared" si="2"/>
        <v>1</v>
      </c>
      <c r="F39" s="54">
        <f t="shared" si="2"/>
        <v>0</v>
      </c>
      <c r="G39" s="54">
        <f t="shared" si="2"/>
        <v>0</v>
      </c>
      <c r="H39" s="54">
        <f t="shared" si="2"/>
        <v>0.1</v>
      </c>
      <c r="I39" s="54">
        <f t="shared" si="2"/>
        <v>0.1</v>
      </c>
      <c r="J39" s="54">
        <f t="shared" si="2"/>
        <v>0</v>
      </c>
      <c r="K39" s="55">
        <f t="shared" si="2"/>
        <v>1000000000000</v>
      </c>
      <c r="L39" s="56">
        <f t="shared" si="2"/>
        <v>0</v>
      </c>
      <c r="M39" s="55">
        <f t="shared" si="2"/>
        <v>0</v>
      </c>
      <c r="N39" s="56">
        <f t="shared" si="2"/>
        <v>10000000000</v>
      </c>
      <c r="O39" s="55">
        <f t="shared" si="2"/>
        <v>10000000000</v>
      </c>
      <c r="P39" s="56">
        <f t="shared" si="2"/>
        <v>0</v>
      </c>
      <c r="Q39" s="55">
        <f t="shared" si="2"/>
        <v>1000000000</v>
      </c>
      <c r="R39" s="56">
        <f t="shared" si="2"/>
        <v>100000000000000</v>
      </c>
      <c r="S39" s="55">
        <f t="shared" si="2"/>
        <v>100000000000000</v>
      </c>
      <c r="T39" s="55">
        <f t="shared" si="2"/>
        <v>0</v>
      </c>
      <c r="U39" s="55">
        <f t="shared" si="2"/>
        <v>0</v>
      </c>
      <c r="V39" s="206">
        <f t="shared" ref="V39" si="3">V40</f>
        <v>0.14729999999999999</v>
      </c>
    </row>
    <row r="40" spans="1:22">
      <c r="A40" s="53">
        <f t="shared" ref="A40:V40" si="4">A5</f>
        <v>2</v>
      </c>
      <c r="B40" s="54">
        <f t="shared" si="4"/>
        <v>0.14729999999999999</v>
      </c>
      <c r="C40" s="54">
        <f t="shared" si="4"/>
        <v>0</v>
      </c>
      <c r="D40" s="54">
        <f t="shared" si="4"/>
        <v>0</v>
      </c>
      <c r="E40" s="54">
        <f t="shared" si="4"/>
        <v>2.0546376733824165</v>
      </c>
      <c r="F40" s="54">
        <f t="shared" si="4"/>
        <v>3.2252276214677786E-2</v>
      </c>
      <c r="G40" s="54">
        <f t="shared" si="4"/>
        <v>3.9547670556938658E-3</v>
      </c>
      <c r="H40" s="54">
        <f t="shared" si="4"/>
        <v>9.3981097192989951E-5</v>
      </c>
      <c r="I40" s="54">
        <f t="shared" si="4"/>
        <v>6.1375230444865236E-3</v>
      </c>
      <c r="J40" s="54">
        <f t="shared" si="4"/>
        <v>-5.410590537688007E-4</v>
      </c>
      <c r="K40" s="55">
        <f t="shared" si="4"/>
        <v>57826880.998899996</v>
      </c>
      <c r="L40" s="56">
        <f t="shared" si="4"/>
        <v>-2937.6055547441197</v>
      </c>
      <c r="M40" s="55">
        <f t="shared" si="4"/>
        <v>-1468.8027773720598</v>
      </c>
      <c r="N40" s="56">
        <f t="shared" si="4"/>
        <v>1198.2741064762447</v>
      </c>
      <c r="O40" s="55">
        <f t="shared" si="4"/>
        <v>19920.473850878807</v>
      </c>
      <c r="P40" s="56">
        <f t="shared" si="4"/>
        <v>-2656.3595999346385</v>
      </c>
      <c r="Q40" s="55">
        <f t="shared" si="4"/>
        <v>786.32921610758365</v>
      </c>
      <c r="R40" s="56">
        <f t="shared" si="4"/>
        <v>1815665.6178841188</v>
      </c>
      <c r="S40" s="55">
        <f t="shared" si="4"/>
        <v>1614990.3360170943</v>
      </c>
      <c r="T40" s="55">
        <f t="shared" si="4"/>
        <v>648.67647253792052</v>
      </c>
      <c r="U40" s="55">
        <f t="shared" si="4"/>
        <v>5218.6369212505742</v>
      </c>
      <c r="V40" s="206">
        <f t="shared" si="4"/>
        <v>0.14729999999999999</v>
      </c>
    </row>
    <row r="41" spans="1:22">
      <c r="A41" s="53"/>
      <c r="B41" s="54">
        <f>B42</f>
        <v>0.247</v>
      </c>
      <c r="C41" s="54">
        <f t="shared" ref="C41:V41" si="5">C42</f>
        <v>0</v>
      </c>
      <c r="D41" s="54">
        <f t="shared" si="5"/>
        <v>0</v>
      </c>
      <c r="E41" s="54">
        <f t="shared" si="5"/>
        <v>1.7475040575079039</v>
      </c>
      <c r="F41" s="54">
        <f t="shared" si="5"/>
        <v>1.3771050446651601E-2</v>
      </c>
      <c r="G41" s="54">
        <f t="shared" si="5"/>
        <v>2.0958298598977559E-3</v>
      </c>
      <c r="H41" s="54">
        <f t="shared" si="5"/>
        <v>7.2424067327693696E-5</v>
      </c>
      <c r="I41" s="54">
        <f t="shared" si="5"/>
        <v>3.5719288440171294E-3</v>
      </c>
      <c r="J41" s="54">
        <f t="shared" si="5"/>
        <v>-3.5259324979273229E-4</v>
      </c>
      <c r="K41" s="55">
        <f t="shared" si="5"/>
        <v>43730617.470660552</v>
      </c>
      <c r="L41" s="56">
        <f t="shared" si="5"/>
        <v>17525.754600037177</v>
      </c>
      <c r="M41" s="55">
        <f t="shared" si="5"/>
        <v>-25089.585501490095</v>
      </c>
      <c r="N41" s="56">
        <f t="shared" si="5"/>
        <v>1160.3360939908714</v>
      </c>
      <c r="O41" s="55">
        <f t="shared" si="5"/>
        <v>15946.985960252125</v>
      </c>
      <c r="P41" s="56">
        <f t="shared" si="5"/>
        <v>-2082.2898729734493</v>
      </c>
      <c r="Q41" s="55">
        <f t="shared" si="5"/>
        <v>724.83720109701426</v>
      </c>
      <c r="R41" s="56">
        <f t="shared" si="5"/>
        <v>1571103.6072682207</v>
      </c>
      <c r="S41" s="55">
        <f t="shared" si="5"/>
        <v>1396791.9954196201</v>
      </c>
      <c r="T41" s="55">
        <f t="shared" si="5"/>
        <v>1350.3031055751044</v>
      </c>
      <c r="U41" s="55">
        <f t="shared" si="5"/>
        <v>2256.507332164299</v>
      </c>
      <c r="V41" s="206">
        <f t="shared" si="5"/>
        <v>0.247</v>
      </c>
    </row>
    <row r="42" spans="1:22">
      <c r="A42" s="53">
        <f t="shared" ref="A42:V42" si="6">A6</f>
        <v>3</v>
      </c>
      <c r="B42" s="54">
        <f t="shared" si="6"/>
        <v>0.247</v>
      </c>
      <c r="C42" s="54">
        <f t="shared" si="6"/>
        <v>0</v>
      </c>
      <c r="D42" s="54">
        <f t="shared" si="6"/>
        <v>0</v>
      </c>
      <c r="E42" s="54">
        <f t="shared" si="6"/>
        <v>1.7475040575079039</v>
      </c>
      <c r="F42" s="54">
        <f t="shared" si="6"/>
        <v>1.3771050446651601E-2</v>
      </c>
      <c r="G42" s="54">
        <f t="shared" si="6"/>
        <v>2.0958298598977559E-3</v>
      </c>
      <c r="H42" s="54">
        <f t="shared" si="6"/>
        <v>7.2424067327693696E-5</v>
      </c>
      <c r="I42" s="54">
        <f t="shared" si="6"/>
        <v>3.5719288440171294E-3</v>
      </c>
      <c r="J42" s="54">
        <f t="shared" si="6"/>
        <v>-3.5259324979273229E-4</v>
      </c>
      <c r="K42" s="55">
        <f t="shared" si="6"/>
        <v>43730617.470660552</v>
      </c>
      <c r="L42" s="56">
        <f t="shared" si="6"/>
        <v>17525.754600037177</v>
      </c>
      <c r="M42" s="55">
        <f t="shared" si="6"/>
        <v>-25089.585501490095</v>
      </c>
      <c r="N42" s="56">
        <f t="shared" si="6"/>
        <v>1160.3360939908714</v>
      </c>
      <c r="O42" s="55">
        <f t="shared" si="6"/>
        <v>15946.985960252125</v>
      </c>
      <c r="P42" s="56">
        <f t="shared" si="6"/>
        <v>-2082.2898729734493</v>
      </c>
      <c r="Q42" s="55">
        <f t="shared" si="6"/>
        <v>724.83720109701426</v>
      </c>
      <c r="R42" s="56">
        <f t="shared" si="6"/>
        <v>1571103.6072682207</v>
      </c>
      <c r="S42" s="55">
        <f t="shared" si="6"/>
        <v>1396791.9954196201</v>
      </c>
      <c r="T42" s="55">
        <f t="shared" si="6"/>
        <v>1350.3031055751044</v>
      </c>
      <c r="U42" s="55">
        <f t="shared" si="6"/>
        <v>2256.507332164299</v>
      </c>
      <c r="V42" s="206">
        <f t="shared" si="6"/>
        <v>0.247</v>
      </c>
    </row>
    <row r="43" spans="1:22">
      <c r="A43" s="53"/>
      <c r="B43" s="54">
        <f>B44</f>
        <v>0.33189999999999997</v>
      </c>
      <c r="C43" s="54">
        <f t="shared" ref="C43:V43" si="7">C44</f>
        <v>0</v>
      </c>
      <c r="D43" s="54">
        <f t="shared" si="7"/>
        <v>0</v>
      </c>
      <c r="E43" s="54">
        <f t="shared" si="7"/>
        <v>1.4272803902216358</v>
      </c>
      <c r="F43" s="54">
        <f t="shared" si="7"/>
        <v>-1.3639540604117521E-3</v>
      </c>
      <c r="G43" s="54">
        <f t="shared" si="7"/>
        <v>1.215442594403445E-3</v>
      </c>
      <c r="H43" s="54">
        <f t="shared" si="7"/>
        <v>6.0832524169738474E-5</v>
      </c>
      <c r="I43" s="54">
        <f t="shared" si="7"/>
        <v>1.4777761575157891E-3</v>
      </c>
      <c r="J43" s="54">
        <f t="shared" si="7"/>
        <v>-2.0623863762135255E-4</v>
      </c>
      <c r="K43" s="55">
        <f t="shared" si="7"/>
        <v>28314802.52746474</v>
      </c>
      <c r="L43" s="56">
        <f t="shared" si="7"/>
        <v>53636.742435705033</v>
      </c>
      <c r="M43" s="55">
        <f t="shared" si="7"/>
        <v>-36743.74636070172</v>
      </c>
      <c r="N43" s="56">
        <f t="shared" si="7"/>
        <v>1285.9457838065698</v>
      </c>
      <c r="O43" s="55">
        <f t="shared" si="7"/>
        <v>11528.52796317464</v>
      </c>
      <c r="P43" s="56">
        <f t="shared" si="7"/>
        <v>-1520.0870881093442</v>
      </c>
      <c r="Q43" s="55">
        <f t="shared" si="7"/>
        <v>619.04317568008526</v>
      </c>
      <c r="R43" s="56">
        <f t="shared" si="7"/>
        <v>1189461.226680404</v>
      </c>
      <c r="S43" s="55">
        <f t="shared" si="7"/>
        <v>1056638.1017075372</v>
      </c>
      <c r="T43" s="55">
        <f t="shared" si="7"/>
        <v>3237.4953927887304</v>
      </c>
      <c r="U43" s="55">
        <f t="shared" si="7"/>
        <v>797.18325228445258</v>
      </c>
      <c r="V43" s="206">
        <f t="shared" si="7"/>
        <v>0.33189999999999997</v>
      </c>
    </row>
    <row r="44" spans="1:22">
      <c r="A44" s="53">
        <f t="shared" ref="A44:V44" si="8">A7</f>
        <v>4</v>
      </c>
      <c r="B44" s="54">
        <f t="shared" si="8"/>
        <v>0.33189999999999997</v>
      </c>
      <c r="C44" s="54">
        <f t="shared" si="8"/>
        <v>0</v>
      </c>
      <c r="D44" s="54">
        <f t="shared" si="8"/>
        <v>0</v>
      </c>
      <c r="E44" s="54">
        <f t="shared" si="8"/>
        <v>1.4272803902216358</v>
      </c>
      <c r="F44" s="54">
        <f t="shared" si="8"/>
        <v>-1.3639540604117521E-3</v>
      </c>
      <c r="G44" s="54">
        <f t="shared" si="8"/>
        <v>1.215442594403445E-3</v>
      </c>
      <c r="H44" s="54">
        <f t="shared" si="8"/>
        <v>6.0832524169738474E-5</v>
      </c>
      <c r="I44" s="54">
        <f t="shared" si="8"/>
        <v>1.4777761575157891E-3</v>
      </c>
      <c r="J44" s="54">
        <f t="shared" si="8"/>
        <v>-2.0623863762135255E-4</v>
      </c>
      <c r="K44" s="55">
        <f t="shared" si="8"/>
        <v>28314802.52746474</v>
      </c>
      <c r="L44" s="56">
        <f t="shared" si="8"/>
        <v>53636.742435705033</v>
      </c>
      <c r="M44" s="55">
        <f t="shared" si="8"/>
        <v>-36743.74636070172</v>
      </c>
      <c r="N44" s="56">
        <f t="shared" si="8"/>
        <v>1285.9457838065698</v>
      </c>
      <c r="O44" s="55">
        <f t="shared" si="8"/>
        <v>11528.52796317464</v>
      </c>
      <c r="P44" s="56">
        <f t="shared" si="8"/>
        <v>-1520.0870881093442</v>
      </c>
      <c r="Q44" s="55">
        <f t="shared" si="8"/>
        <v>619.04317568008526</v>
      </c>
      <c r="R44" s="56">
        <f t="shared" si="8"/>
        <v>1189461.226680404</v>
      </c>
      <c r="S44" s="55">
        <f t="shared" si="8"/>
        <v>1056638.1017075372</v>
      </c>
      <c r="T44" s="55">
        <f t="shared" si="8"/>
        <v>3237.4953927887304</v>
      </c>
      <c r="U44" s="55">
        <f t="shared" si="8"/>
        <v>797.18325228445258</v>
      </c>
      <c r="V44" s="206">
        <f t="shared" si="8"/>
        <v>0.33189999999999997</v>
      </c>
    </row>
    <row r="45" spans="1:22">
      <c r="A45" s="53"/>
      <c r="B45" s="54">
        <f>B46</f>
        <v>0.41570000000000001</v>
      </c>
      <c r="C45" s="54">
        <f t="shared" ref="C45:V45" si="9">C46</f>
        <v>0</v>
      </c>
      <c r="D45" s="54">
        <f t="shared" si="9"/>
        <v>0</v>
      </c>
      <c r="E45" s="54">
        <f t="shared" si="9"/>
        <v>1.3074135342533242</v>
      </c>
      <c r="F45" s="54">
        <f t="shared" si="9"/>
        <v>4.7520494648070908E-3</v>
      </c>
      <c r="G45" s="54">
        <f t="shared" si="9"/>
        <v>1.8220516536187428E-3</v>
      </c>
      <c r="H45" s="54">
        <f t="shared" si="9"/>
        <v>5.3215113644170976E-5</v>
      </c>
      <c r="I45" s="54">
        <f t="shared" si="9"/>
        <v>1.4689834795215549E-3</v>
      </c>
      <c r="J45" s="54">
        <f t="shared" si="9"/>
        <v>-1.5648311660777472E-4</v>
      </c>
      <c r="K45" s="55">
        <f t="shared" si="9"/>
        <v>27798251.612222262</v>
      </c>
      <c r="L45" s="56">
        <f t="shared" si="9"/>
        <v>63186.27637870326</v>
      </c>
      <c r="M45" s="55">
        <f t="shared" si="9"/>
        <v>-30044.869635113508</v>
      </c>
      <c r="N45" s="56">
        <f t="shared" si="9"/>
        <v>1216.6269287800487</v>
      </c>
      <c r="O45" s="55">
        <f t="shared" si="9"/>
        <v>11341.669342155874</v>
      </c>
      <c r="P45" s="56">
        <f t="shared" si="9"/>
        <v>-1346.4804009598201</v>
      </c>
      <c r="Q45" s="55">
        <f t="shared" si="9"/>
        <v>570.08231773200839</v>
      </c>
      <c r="R45" s="56">
        <f t="shared" si="9"/>
        <v>1096684.6424604999</v>
      </c>
      <c r="S45" s="55">
        <f t="shared" si="9"/>
        <v>973677.89181847253</v>
      </c>
      <c r="T45" s="55">
        <f t="shared" si="9"/>
        <v>3315.9766092129021</v>
      </c>
      <c r="U45" s="55">
        <f t="shared" si="9"/>
        <v>1173.0601274036683</v>
      </c>
      <c r="V45" s="206">
        <f t="shared" si="9"/>
        <v>0.41570000000000001</v>
      </c>
    </row>
    <row r="46" spans="1:22">
      <c r="A46" s="53">
        <f t="shared" ref="A46:V46" si="10">A8</f>
        <v>5</v>
      </c>
      <c r="B46" s="54">
        <f t="shared" si="10"/>
        <v>0.41570000000000001</v>
      </c>
      <c r="C46" s="54">
        <f t="shared" si="10"/>
        <v>0</v>
      </c>
      <c r="D46" s="54">
        <f t="shared" si="10"/>
        <v>0</v>
      </c>
      <c r="E46" s="54">
        <f t="shared" si="10"/>
        <v>1.3074135342533242</v>
      </c>
      <c r="F46" s="54">
        <f t="shared" si="10"/>
        <v>4.7520494648070908E-3</v>
      </c>
      <c r="G46" s="54">
        <f t="shared" si="10"/>
        <v>1.8220516536187428E-3</v>
      </c>
      <c r="H46" s="54">
        <f t="shared" si="10"/>
        <v>5.3215113644170976E-5</v>
      </c>
      <c r="I46" s="54">
        <f t="shared" si="10"/>
        <v>1.4689834795215549E-3</v>
      </c>
      <c r="J46" s="54">
        <f t="shared" si="10"/>
        <v>-1.5648311660777472E-4</v>
      </c>
      <c r="K46" s="55">
        <f t="shared" si="10"/>
        <v>27798251.612222262</v>
      </c>
      <c r="L46" s="56">
        <f t="shared" si="10"/>
        <v>63186.27637870326</v>
      </c>
      <c r="M46" s="55">
        <f t="shared" si="10"/>
        <v>-30044.869635113508</v>
      </c>
      <c r="N46" s="56">
        <f t="shared" si="10"/>
        <v>1216.6269287800487</v>
      </c>
      <c r="O46" s="55">
        <f t="shared" si="10"/>
        <v>11341.669342155874</v>
      </c>
      <c r="P46" s="56">
        <f t="shared" si="10"/>
        <v>-1346.4804009598201</v>
      </c>
      <c r="Q46" s="55">
        <f t="shared" si="10"/>
        <v>570.08231773200839</v>
      </c>
      <c r="R46" s="56">
        <f t="shared" si="10"/>
        <v>1096684.6424604999</v>
      </c>
      <c r="S46" s="55">
        <f t="shared" si="10"/>
        <v>973677.89181847253</v>
      </c>
      <c r="T46" s="55">
        <f t="shared" si="10"/>
        <v>3315.9766092129021</v>
      </c>
      <c r="U46" s="55">
        <f t="shared" si="10"/>
        <v>1173.0601274036683</v>
      </c>
      <c r="V46" s="206">
        <f t="shared" si="10"/>
        <v>0.41570000000000001</v>
      </c>
    </row>
    <row r="47" spans="1:22">
      <c r="A47" s="53"/>
      <c r="B47" s="54">
        <f>B48</f>
        <v>0.50129999999999997</v>
      </c>
      <c r="C47" s="54">
        <f t="shared" ref="C47:V47" si="11">C48</f>
        <v>0</v>
      </c>
      <c r="D47" s="54">
        <f t="shared" si="11"/>
        <v>0</v>
      </c>
      <c r="E47" s="54">
        <f t="shared" si="11"/>
        <v>1.1849919329495515</v>
      </c>
      <c r="F47" s="54">
        <f t="shared" si="11"/>
        <v>1.1459493261649972E-2</v>
      </c>
      <c r="G47" s="54">
        <f t="shared" si="11"/>
        <v>2.434922798066598E-3</v>
      </c>
      <c r="H47" s="54">
        <f t="shared" si="11"/>
        <v>4.4674954914784574E-5</v>
      </c>
      <c r="I47" s="54">
        <f t="shared" si="11"/>
        <v>1.4692898509598279E-3</v>
      </c>
      <c r="J47" s="54">
        <f t="shared" si="11"/>
        <v>-1.0331245403996722E-4</v>
      </c>
      <c r="K47" s="55">
        <f t="shared" si="11"/>
        <v>27650161.261665121</v>
      </c>
      <c r="L47" s="56">
        <f t="shared" si="11"/>
        <v>71688.926637598342</v>
      </c>
      <c r="M47" s="55">
        <f t="shared" si="11"/>
        <v>-23385.351879252605</v>
      </c>
      <c r="N47" s="56">
        <f t="shared" si="11"/>
        <v>1128.3039411275518</v>
      </c>
      <c r="O47" s="55">
        <f t="shared" si="11"/>
        <v>11260.87879559773</v>
      </c>
      <c r="P47" s="56">
        <f t="shared" si="11"/>
        <v>-1172.5321394988136</v>
      </c>
      <c r="Q47" s="55">
        <f t="shared" si="11"/>
        <v>522.31133244928583</v>
      </c>
      <c r="R47" s="56">
        <f t="shared" si="11"/>
        <v>1013650.2376039129</v>
      </c>
      <c r="S47" s="55">
        <f t="shared" si="11"/>
        <v>899383.03040394373</v>
      </c>
      <c r="T47" s="55">
        <f t="shared" si="11"/>
        <v>3278.4499823542224</v>
      </c>
      <c r="U47" s="55">
        <f t="shared" si="11"/>
        <v>1504.7327586487916</v>
      </c>
      <c r="V47" s="206">
        <f t="shared" si="11"/>
        <v>0.50129999999999997</v>
      </c>
    </row>
    <row r="48" spans="1:22">
      <c r="A48" s="53">
        <f t="shared" ref="A48:V48" si="12">A9</f>
        <v>6</v>
      </c>
      <c r="B48" s="54">
        <f t="shared" si="12"/>
        <v>0.50129999999999997</v>
      </c>
      <c r="C48" s="54">
        <f t="shared" si="12"/>
        <v>0</v>
      </c>
      <c r="D48" s="54">
        <f t="shared" si="12"/>
        <v>0</v>
      </c>
      <c r="E48" s="54">
        <f t="shared" si="12"/>
        <v>1.1849919329495515</v>
      </c>
      <c r="F48" s="54">
        <f t="shared" si="12"/>
        <v>1.1459493261649972E-2</v>
      </c>
      <c r="G48" s="54">
        <f t="shared" si="12"/>
        <v>2.434922798066598E-3</v>
      </c>
      <c r="H48" s="54">
        <f t="shared" si="12"/>
        <v>4.4674954914784574E-5</v>
      </c>
      <c r="I48" s="54">
        <f t="shared" si="12"/>
        <v>1.4692898509598279E-3</v>
      </c>
      <c r="J48" s="54">
        <f t="shared" si="12"/>
        <v>-1.0331245403996722E-4</v>
      </c>
      <c r="K48" s="55">
        <f t="shared" si="12"/>
        <v>27650161.261665121</v>
      </c>
      <c r="L48" s="56">
        <f t="shared" si="12"/>
        <v>71688.926637598342</v>
      </c>
      <c r="M48" s="55">
        <f t="shared" si="12"/>
        <v>-23385.351879252605</v>
      </c>
      <c r="N48" s="56">
        <f t="shared" si="12"/>
        <v>1128.3039411275518</v>
      </c>
      <c r="O48" s="55">
        <f t="shared" si="12"/>
        <v>11260.87879559773</v>
      </c>
      <c r="P48" s="56">
        <f t="shared" si="12"/>
        <v>-1172.5321394988136</v>
      </c>
      <c r="Q48" s="55">
        <f t="shared" si="12"/>
        <v>522.31133244928583</v>
      </c>
      <c r="R48" s="56">
        <f t="shared" si="12"/>
        <v>1013650.2376039129</v>
      </c>
      <c r="S48" s="55">
        <f t="shared" si="12"/>
        <v>899383.03040394373</v>
      </c>
      <c r="T48" s="55">
        <f t="shared" si="12"/>
        <v>3278.4499823542224</v>
      </c>
      <c r="U48" s="55">
        <f t="shared" si="12"/>
        <v>1504.7327586487916</v>
      </c>
      <c r="V48" s="206">
        <f t="shared" si="12"/>
        <v>0.50129999999999997</v>
      </c>
    </row>
    <row r="49" spans="1:22">
      <c r="A49" s="53"/>
      <c r="B49" s="54">
        <f>B50</f>
        <v>0.58499999999999996</v>
      </c>
      <c r="C49" s="54">
        <f t="shared" ref="C49:V49" si="13">C50</f>
        <v>0</v>
      </c>
      <c r="D49" s="54">
        <f t="shared" si="13"/>
        <v>0</v>
      </c>
      <c r="E49" s="54">
        <f t="shared" si="13"/>
        <v>1.0850754146040551</v>
      </c>
      <c r="F49" s="54">
        <f t="shared" si="13"/>
        <v>1.6571721769626367E-2</v>
      </c>
      <c r="G49" s="54">
        <f t="shared" si="13"/>
        <v>3.5126711700243524E-3</v>
      </c>
      <c r="H49" s="54">
        <f t="shared" si="13"/>
        <v>4.1881123288962204E-5</v>
      </c>
      <c r="I49" s="54">
        <f t="shared" si="13"/>
        <v>1.4667317430547436E-3</v>
      </c>
      <c r="J49" s="54">
        <f t="shared" si="13"/>
        <v>-5.8591157140455896E-5</v>
      </c>
      <c r="K49" s="55">
        <f t="shared" si="13"/>
        <v>27534491.798706997</v>
      </c>
      <c r="L49" s="56">
        <f t="shared" si="13"/>
        <v>50003.586839392832</v>
      </c>
      <c r="M49" s="55">
        <f t="shared" si="13"/>
        <v>-17747.985531103499</v>
      </c>
      <c r="N49" s="56">
        <f t="shared" si="13"/>
        <v>953.30322578800281</v>
      </c>
      <c r="O49" s="55">
        <f t="shared" si="13"/>
        <v>11169.004590294024</v>
      </c>
      <c r="P49" s="56">
        <f t="shared" si="13"/>
        <v>-1079.2602912215898</v>
      </c>
      <c r="Q49" s="55">
        <f t="shared" si="13"/>
        <v>483.21044793475335</v>
      </c>
      <c r="R49" s="56">
        <f t="shared" si="13"/>
        <v>944305.58954613423</v>
      </c>
      <c r="S49" s="55">
        <f t="shared" si="13"/>
        <v>837286.65259652107</v>
      </c>
      <c r="T49" s="55">
        <f t="shared" si="13"/>
        <v>2593.5712235339188</v>
      </c>
      <c r="U49" s="55">
        <f t="shared" si="13"/>
        <v>1853.8640103468956</v>
      </c>
      <c r="V49" s="206">
        <f t="shared" si="13"/>
        <v>0.58499999999999996</v>
      </c>
    </row>
    <row r="50" spans="1:22">
      <c r="A50" s="53">
        <f t="shared" ref="A50:V50" si="14">A10</f>
        <v>7</v>
      </c>
      <c r="B50" s="54">
        <f t="shared" si="14"/>
        <v>0.58499999999999996</v>
      </c>
      <c r="C50" s="54">
        <f t="shared" si="14"/>
        <v>0</v>
      </c>
      <c r="D50" s="54">
        <f t="shared" si="14"/>
        <v>0</v>
      </c>
      <c r="E50" s="54">
        <f t="shared" si="14"/>
        <v>1.0850754146040551</v>
      </c>
      <c r="F50" s="54">
        <f t="shared" si="14"/>
        <v>1.6571721769626367E-2</v>
      </c>
      <c r="G50" s="54">
        <f t="shared" si="14"/>
        <v>3.5126711700243524E-3</v>
      </c>
      <c r="H50" s="54">
        <f t="shared" si="14"/>
        <v>4.1881123288962204E-5</v>
      </c>
      <c r="I50" s="54">
        <f t="shared" si="14"/>
        <v>1.4667317430547436E-3</v>
      </c>
      <c r="J50" s="54">
        <f t="shared" si="14"/>
        <v>-5.8591157140455896E-5</v>
      </c>
      <c r="K50" s="55">
        <f t="shared" si="14"/>
        <v>27534491.798706997</v>
      </c>
      <c r="L50" s="56">
        <f t="shared" si="14"/>
        <v>50003.586839392832</v>
      </c>
      <c r="M50" s="55">
        <f t="shared" si="14"/>
        <v>-17747.985531103499</v>
      </c>
      <c r="N50" s="56">
        <f t="shared" si="14"/>
        <v>953.30322578800281</v>
      </c>
      <c r="O50" s="55">
        <f t="shared" si="14"/>
        <v>11169.004590294024</v>
      </c>
      <c r="P50" s="56">
        <f t="shared" si="14"/>
        <v>-1079.2602912215898</v>
      </c>
      <c r="Q50" s="55">
        <f t="shared" si="14"/>
        <v>483.21044793475335</v>
      </c>
      <c r="R50" s="56">
        <f t="shared" si="14"/>
        <v>944305.58954613423</v>
      </c>
      <c r="S50" s="55">
        <f t="shared" si="14"/>
        <v>837286.65259652107</v>
      </c>
      <c r="T50" s="55">
        <f t="shared" si="14"/>
        <v>2593.5712235339188</v>
      </c>
      <c r="U50" s="55">
        <f t="shared" si="14"/>
        <v>1853.8640103468956</v>
      </c>
      <c r="V50" s="206">
        <f t="shared" si="14"/>
        <v>0.58499999999999996</v>
      </c>
    </row>
    <row r="51" spans="1:22">
      <c r="A51" s="53"/>
      <c r="B51" s="54">
        <f>B52</f>
        <v>0.67030000000000001</v>
      </c>
      <c r="C51" s="54">
        <f t="shared" ref="C51:V51" si="15">C52</f>
        <v>0</v>
      </c>
      <c r="D51" s="54">
        <f t="shared" si="15"/>
        <v>0</v>
      </c>
      <c r="E51" s="54">
        <f t="shared" si="15"/>
        <v>1.3076441771233613</v>
      </c>
      <c r="F51" s="54">
        <f t="shared" si="15"/>
        <v>4.2622114543198423E-3</v>
      </c>
      <c r="G51" s="54">
        <f t="shared" si="15"/>
        <v>2.1020960396003724E-3</v>
      </c>
      <c r="H51" s="54">
        <f t="shared" si="15"/>
        <v>4.2835491274295488E-5</v>
      </c>
      <c r="I51" s="54">
        <f t="shared" si="15"/>
        <v>1.5008838774728842E-3</v>
      </c>
      <c r="J51" s="54">
        <f t="shared" si="15"/>
        <v>-1.0745146991591675E-4</v>
      </c>
      <c r="K51" s="55">
        <f t="shared" si="15"/>
        <v>26267252.251442503</v>
      </c>
      <c r="L51" s="56">
        <f t="shared" si="15"/>
        <v>45424.736334852154</v>
      </c>
      <c r="M51" s="55">
        <f t="shared" si="15"/>
        <v>-28477.742454636395</v>
      </c>
      <c r="N51" s="56">
        <f t="shared" si="15"/>
        <v>1033.8951933847698</v>
      </c>
      <c r="O51" s="55">
        <f t="shared" si="15"/>
        <v>11141.741157778619</v>
      </c>
      <c r="P51" s="56">
        <f t="shared" si="15"/>
        <v>-975.4288508640318</v>
      </c>
      <c r="Q51" s="55">
        <f t="shared" si="15"/>
        <v>573.85648255386729</v>
      </c>
      <c r="R51" s="56">
        <f t="shared" si="15"/>
        <v>1067506.5375236974</v>
      </c>
      <c r="S51" s="55">
        <f t="shared" si="15"/>
        <v>946058.51916683861</v>
      </c>
      <c r="T51" s="55">
        <f t="shared" si="15"/>
        <v>2914.8856744035338</v>
      </c>
      <c r="U51" s="55">
        <f t="shared" si="15"/>
        <v>1179.5363361661368</v>
      </c>
      <c r="V51" s="206">
        <f t="shared" si="15"/>
        <v>0.67030000000000001</v>
      </c>
    </row>
    <row r="52" spans="1:22">
      <c r="A52" s="53">
        <f t="shared" ref="A52:V52" si="16">A11</f>
        <v>8</v>
      </c>
      <c r="B52" s="54">
        <f t="shared" si="16"/>
        <v>0.67030000000000001</v>
      </c>
      <c r="C52" s="54">
        <f t="shared" si="16"/>
        <v>0</v>
      </c>
      <c r="D52" s="54">
        <f t="shared" si="16"/>
        <v>0</v>
      </c>
      <c r="E52" s="54">
        <f t="shared" si="16"/>
        <v>1.3076441771233613</v>
      </c>
      <c r="F52" s="54">
        <f t="shared" si="16"/>
        <v>4.2622114543198423E-3</v>
      </c>
      <c r="G52" s="54">
        <f t="shared" si="16"/>
        <v>2.1020960396003724E-3</v>
      </c>
      <c r="H52" s="54">
        <f t="shared" si="16"/>
        <v>4.2835491274295488E-5</v>
      </c>
      <c r="I52" s="54">
        <f t="shared" si="16"/>
        <v>1.5008838774728842E-3</v>
      </c>
      <c r="J52" s="54">
        <f t="shared" si="16"/>
        <v>-1.0745146991591675E-4</v>
      </c>
      <c r="K52" s="55">
        <f t="shared" si="16"/>
        <v>26267252.251442503</v>
      </c>
      <c r="L52" s="56">
        <f t="shared" si="16"/>
        <v>45424.736334852154</v>
      </c>
      <c r="M52" s="55">
        <f t="shared" si="16"/>
        <v>-28477.742454636395</v>
      </c>
      <c r="N52" s="56">
        <f t="shared" si="16"/>
        <v>1033.8951933847698</v>
      </c>
      <c r="O52" s="55">
        <f t="shared" si="16"/>
        <v>11141.741157778619</v>
      </c>
      <c r="P52" s="56">
        <f t="shared" si="16"/>
        <v>-975.4288508640318</v>
      </c>
      <c r="Q52" s="55">
        <f t="shared" si="16"/>
        <v>573.85648255386729</v>
      </c>
      <c r="R52" s="56">
        <f t="shared" si="16"/>
        <v>1067506.5375236974</v>
      </c>
      <c r="S52" s="55">
        <f t="shared" si="16"/>
        <v>946058.51916683861</v>
      </c>
      <c r="T52" s="55">
        <f t="shared" si="16"/>
        <v>2914.8856744035338</v>
      </c>
      <c r="U52" s="55">
        <f t="shared" si="16"/>
        <v>1179.5363361661368</v>
      </c>
      <c r="V52" s="206">
        <f t="shared" si="16"/>
        <v>0.67030000000000001</v>
      </c>
    </row>
    <row r="53" spans="1:22">
      <c r="A53" s="53"/>
      <c r="B53" s="54">
        <f>B54</f>
        <v>0.75419999999999998</v>
      </c>
      <c r="C53" s="54">
        <f t="shared" ref="C53:V53" si="17">C54</f>
        <v>0</v>
      </c>
      <c r="D53" s="54">
        <f t="shared" si="17"/>
        <v>0</v>
      </c>
      <c r="E53" s="54">
        <f t="shared" si="17"/>
        <v>1.3926759075576065</v>
      </c>
      <c r="F53" s="54">
        <f t="shared" si="17"/>
        <v>-1.2148883248137374E-3</v>
      </c>
      <c r="G53" s="54">
        <f t="shared" si="17"/>
        <v>1.3253782627297428E-3</v>
      </c>
      <c r="H53" s="54">
        <f t="shared" si="17"/>
        <v>4.0481293298776685E-5</v>
      </c>
      <c r="I53" s="54">
        <f t="shared" si="17"/>
        <v>1.4985742546535779E-3</v>
      </c>
      <c r="J53" s="54">
        <f t="shared" si="17"/>
        <v>-1.1858022349807841E-4</v>
      </c>
      <c r="K53" s="55">
        <f t="shared" si="17"/>
        <v>24392303.838737138</v>
      </c>
      <c r="L53" s="56">
        <f t="shared" si="17"/>
        <v>48326.032365306011</v>
      </c>
      <c r="M53" s="55">
        <f t="shared" si="17"/>
        <v>-25706.208958090385</v>
      </c>
      <c r="N53" s="56">
        <f t="shared" si="17"/>
        <v>1039.1690894244634</v>
      </c>
      <c r="O53" s="55">
        <f t="shared" si="17"/>
        <v>10718.948737935931</v>
      </c>
      <c r="P53" s="56">
        <f t="shared" si="17"/>
        <v>-794.46921319387002</v>
      </c>
      <c r="Q53" s="55">
        <f t="shared" si="17"/>
        <v>617.02369251457731</v>
      </c>
      <c r="R53" s="56">
        <f t="shared" si="17"/>
        <v>1113378.9634880214</v>
      </c>
      <c r="S53" s="55">
        <f t="shared" si="17"/>
        <v>986337.73716530961</v>
      </c>
      <c r="T53" s="55">
        <f t="shared" si="17"/>
        <v>3188.7624600173622</v>
      </c>
      <c r="U53" s="55">
        <f t="shared" si="17"/>
        <v>936.64884909864577</v>
      </c>
      <c r="V53" s="206">
        <f t="shared" si="17"/>
        <v>0.75419999999999998</v>
      </c>
    </row>
    <row r="54" spans="1:22">
      <c r="A54" s="53">
        <f t="shared" ref="A54:V54" si="18">A12</f>
        <v>9</v>
      </c>
      <c r="B54" s="54">
        <f t="shared" si="18"/>
        <v>0.75419999999999998</v>
      </c>
      <c r="C54" s="54">
        <f t="shared" si="18"/>
        <v>0</v>
      </c>
      <c r="D54" s="54">
        <f t="shared" si="18"/>
        <v>0</v>
      </c>
      <c r="E54" s="54">
        <f t="shared" si="18"/>
        <v>1.3926759075576065</v>
      </c>
      <c r="F54" s="54">
        <f t="shared" si="18"/>
        <v>-1.2148883248137374E-3</v>
      </c>
      <c r="G54" s="54">
        <f t="shared" si="18"/>
        <v>1.3253782627297428E-3</v>
      </c>
      <c r="H54" s="54">
        <f t="shared" si="18"/>
        <v>4.0481293298776685E-5</v>
      </c>
      <c r="I54" s="54">
        <f t="shared" si="18"/>
        <v>1.4985742546535779E-3</v>
      </c>
      <c r="J54" s="54">
        <f t="shared" si="18"/>
        <v>-1.1858022349807841E-4</v>
      </c>
      <c r="K54" s="55">
        <f t="shared" si="18"/>
        <v>24392303.838737138</v>
      </c>
      <c r="L54" s="56">
        <f t="shared" si="18"/>
        <v>48326.032365306011</v>
      </c>
      <c r="M54" s="55">
        <f t="shared" si="18"/>
        <v>-25706.208958090385</v>
      </c>
      <c r="N54" s="56">
        <f t="shared" si="18"/>
        <v>1039.1690894244634</v>
      </c>
      <c r="O54" s="55">
        <f t="shared" si="18"/>
        <v>10718.948737935931</v>
      </c>
      <c r="P54" s="56">
        <f t="shared" si="18"/>
        <v>-794.46921319387002</v>
      </c>
      <c r="Q54" s="55">
        <f t="shared" si="18"/>
        <v>617.02369251457731</v>
      </c>
      <c r="R54" s="56">
        <f t="shared" si="18"/>
        <v>1113378.9634880214</v>
      </c>
      <c r="S54" s="55">
        <f t="shared" si="18"/>
        <v>986337.73716530961</v>
      </c>
      <c r="T54" s="55">
        <f t="shared" si="18"/>
        <v>3188.7624600173622</v>
      </c>
      <c r="U54" s="55">
        <f t="shared" si="18"/>
        <v>936.64884909864577</v>
      </c>
      <c r="V54" s="206">
        <f t="shared" si="18"/>
        <v>0.75419999999999998</v>
      </c>
    </row>
    <row r="55" spans="1:22">
      <c r="A55" s="53"/>
      <c r="B55" s="54">
        <f>B56</f>
        <v>0.83819999999999995</v>
      </c>
      <c r="C55" s="54">
        <f t="shared" ref="C55:V55" si="19">C56</f>
        <v>0</v>
      </c>
      <c r="D55" s="54">
        <f t="shared" si="19"/>
        <v>0</v>
      </c>
      <c r="E55" s="54">
        <f t="shared" si="19"/>
        <v>1.4121669401241688</v>
      </c>
      <c r="F55" s="54">
        <f t="shared" si="19"/>
        <v>-1.3621614988820517E-3</v>
      </c>
      <c r="G55" s="54">
        <f t="shared" si="19"/>
        <v>1.4388538960367063E-3</v>
      </c>
      <c r="H55" s="54">
        <f t="shared" si="19"/>
        <v>3.6726072873893471E-5</v>
      </c>
      <c r="I55" s="54">
        <f t="shared" si="19"/>
        <v>1.5357401356254634E-3</v>
      </c>
      <c r="J55" s="54">
        <f t="shared" si="19"/>
        <v>-9.7557842655720091E-5</v>
      </c>
      <c r="K55" s="55">
        <f t="shared" si="19"/>
        <v>22470177.80752987</v>
      </c>
      <c r="L55" s="56">
        <f t="shared" si="19"/>
        <v>45483.375883877699</v>
      </c>
      <c r="M55" s="55">
        <f t="shared" si="19"/>
        <v>1133.4444205416148</v>
      </c>
      <c r="N55" s="56">
        <f t="shared" si="19"/>
        <v>846.87574484311119</v>
      </c>
      <c r="O55" s="55">
        <f t="shared" si="19"/>
        <v>9768.4683100218954</v>
      </c>
      <c r="P55" s="56">
        <f t="shared" si="19"/>
        <v>-538.02744464820273</v>
      </c>
      <c r="Q55" s="55">
        <f t="shared" si="19"/>
        <v>532.60758798412144</v>
      </c>
      <c r="R55" s="56">
        <f t="shared" si="19"/>
        <v>976219.02452924277</v>
      </c>
      <c r="S55" s="55">
        <f t="shared" si="19"/>
        <v>864569.38225356396</v>
      </c>
      <c r="T55" s="55">
        <f t="shared" si="19"/>
        <v>2795.1290916281109</v>
      </c>
      <c r="U55" s="55">
        <f t="shared" si="19"/>
        <v>1253.5947577136394</v>
      </c>
      <c r="V55" s="206">
        <f t="shared" si="19"/>
        <v>0.83819999999999995</v>
      </c>
    </row>
    <row r="56" spans="1:22">
      <c r="A56" s="53">
        <f t="shared" ref="A56:V56" si="20">A13</f>
        <v>10</v>
      </c>
      <c r="B56" s="54">
        <f t="shared" si="20"/>
        <v>0.83819999999999995</v>
      </c>
      <c r="C56" s="54">
        <f t="shared" si="20"/>
        <v>0</v>
      </c>
      <c r="D56" s="54">
        <f t="shared" si="20"/>
        <v>0</v>
      </c>
      <c r="E56" s="54">
        <f t="shared" si="20"/>
        <v>1.4121669401241688</v>
      </c>
      <c r="F56" s="54">
        <f t="shared" si="20"/>
        <v>-1.3621614988820517E-3</v>
      </c>
      <c r="G56" s="54">
        <f t="shared" si="20"/>
        <v>1.4388538960367063E-3</v>
      </c>
      <c r="H56" s="54">
        <f t="shared" si="20"/>
        <v>3.6726072873893471E-5</v>
      </c>
      <c r="I56" s="54">
        <f t="shared" si="20"/>
        <v>1.5357401356254634E-3</v>
      </c>
      <c r="J56" s="54">
        <f t="shared" si="20"/>
        <v>-9.7557842655720091E-5</v>
      </c>
      <c r="K56" s="55">
        <f t="shared" si="20"/>
        <v>22470177.80752987</v>
      </c>
      <c r="L56" s="56">
        <f t="shared" si="20"/>
        <v>45483.375883877699</v>
      </c>
      <c r="M56" s="55">
        <f t="shared" si="20"/>
        <v>1133.4444205416148</v>
      </c>
      <c r="N56" s="56">
        <f t="shared" si="20"/>
        <v>846.87574484311119</v>
      </c>
      <c r="O56" s="55">
        <f t="shared" si="20"/>
        <v>9768.4683100218954</v>
      </c>
      <c r="P56" s="56">
        <f t="shared" si="20"/>
        <v>-538.02744464820273</v>
      </c>
      <c r="Q56" s="55">
        <f t="shared" si="20"/>
        <v>532.60758798412144</v>
      </c>
      <c r="R56" s="56">
        <f t="shared" si="20"/>
        <v>976219.02452924277</v>
      </c>
      <c r="S56" s="55">
        <f t="shared" si="20"/>
        <v>864569.38225356396</v>
      </c>
      <c r="T56" s="55">
        <f t="shared" si="20"/>
        <v>2795.1290916281109</v>
      </c>
      <c r="U56" s="55">
        <f t="shared" si="20"/>
        <v>1253.5947577136394</v>
      </c>
      <c r="V56" s="206">
        <f t="shared" si="20"/>
        <v>0.83819999999999995</v>
      </c>
    </row>
    <row r="57" spans="1:22">
      <c r="A57" s="53"/>
      <c r="B57" s="54">
        <f>B58</f>
        <v>0.92320000000000002</v>
      </c>
      <c r="C57" s="54">
        <f t="shared" ref="C57:V57" si="21">C58</f>
        <v>0</v>
      </c>
      <c r="D57" s="54">
        <f t="shared" si="21"/>
        <v>0</v>
      </c>
      <c r="E57" s="54">
        <f t="shared" si="21"/>
        <v>1.5066210071537691</v>
      </c>
      <c r="F57" s="54">
        <f t="shared" si="21"/>
        <v>-1.7799068739209035E-4</v>
      </c>
      <c r="G57" s="54">
        <f t="shared" si="21"/>
        <v>1.5976642408459317E-3</v>
      </c>
      <c r="H57" s="54">
        <f t="shared" si="21"/>
        <v>3.8659951796950124E-5</v>
      </c>
      <c r="I57" s="54">
        <f t="shared" si="21"/>
        <v>1.6512993674537065E-3</v>
      </c>
      <c r="J57" s="54">
        <f t="shared" si="21"/>
        <v>-1.0268865001305723E-4</v>
      </c>
      <c r="K57" s="55">
        <f t="shared" si="21"/>
        <v>21077407.373937417</v>
      </c>
      <c r="L57" s="56">
        <f t="shared" si="21"/>
        <v>45420.063813543216</v>
      </c>
      <c r="M57" s="55">
        <f t="shared" si="21"/>
        <v>46490.79610813922</v>
      </c>
      <c r="N57" s="56">
        <f t="shared" si="21"/>
        <v>537.9100590342656</v>
      </c>
      <c r="O57" s="55">
        <f t="shared" si="21"/>
        <v>8526.8551614660719</v>
      </c>
      <c r="P57" s="56">
        <f t="shared" si="21"/>
        <v>-222.5763746233481</v>
      </c>
      <c r="Q57" s="55">
        <f t="shared" si="21"/>
        <v>332.4363668138991</v>
      </c>
      <c r="R57" s="56">
        <f t="shared" si="21"/>
        <v>685397.7177819229</v>
      </c>
      <c r="S57" s="55">
        <f t="shared" si="21"/>
        <v>606821.86678250995</v>
      </c>
      <c r="T57" s="55">
        <f t="shared" si="21"/>
        <v>2066.5637796530418</v>
      </c>
      <c r="U57" s="55">
        <f t="shared" si="21"/>
        <v>1827.5573255051081</v>
      </c>
      <c r="V57" s="206">
        <f t="shared" si="21"/>
        <v>0.92320000000000002</v>
      </c>
    </row>
    <row r="58" spans="1:22">
      <c r="A58" s="53">
        <f t="shared" ref="A58:V58" si="22">A14</f>
        <v>11</v>
      </c>
      <c r="B58" s="54">
        <f t="shared" si="22"/>
        <v>0.92320000000000002</v>
      </c>
      <c r="C58" s="54">
        <f t="shared" si="22"/>
        <v>0</v>
      </c>
      <c r="D58" s="54">
        <f t="shared" si="22"/>
        <v>0</v>
      </c>
      <c r="E58" s="54">
        <f t="shared" si="22"/>
        <v>1.5066210071537691</v>
      </c>
      <c r="F58" s="54">
        <f t="shared" si="22"/>
        <v>-1.7799068739209035E-4</v>
      </c>
      <c r="G58" s="54">
        <f t="shared" si="22"/>
        <v>1.5976642408459317E-3</v>
      </c>
      <c r="H58" s="54">
        <f t="shared" si="22"/>
        <v>3.8659951796950124E-5</v>
      </c>
      <c r="I58" s="54">
        <f t="shared" si="22"/>
        <v>1.6512993674537065E-3</v>
      </c>
      <c r="J58" s="54">
        <f t="shared" si="22"/>
        <v>-1.0268865001305723E-4</v>
      </c>
      <c r="K58" s="55">
        <f t="shared" si="22"/>
        <v>21077407.373937417</v>
      </c>
      <c r="L58" s="56">
        <f t="shared" si="22"/>
        <v>45420.063813543216</v>
      </c>
      <c r="M58" s="55">
        <f t="shared" si="22"/>
        <v>46490.79610813922</v>
      </c>
      <c r="N58" s="56">
        <f t="shared" si="22"/>
        <v>537.9100590342656</v>
      </c>
      <c r="O58" s="55">
        <f t="shared" si="22"/>
        <v>8526.8551614660719</v>
      </c>
      <c r="P58" s="56">
        <f t="shared" si="22"/>
        <v>-222.5763746233481</v>
      </c>
      <c r="Q58" s="55">
        <f t="shared" si="22"/>
        <v>332.4363668138991</v>
      </c>
      <c r="R58" s="56">
        <f t="shared" si="22"/>
        <v>685397.7177819229</v>
      </c>
      <c r="S58" s="55">
        <f t="shared" si="22"/>
        <v>606821.86678250995</v>
      </c>
      <c r="T58" s="55">
        <f t="shared" si="22"/>
        <v>2066.5637796530418</v>
      </c>
      <c r="U58" s="55">
        <f t="shared" si="22"/>
        <v>1827.5573255051081</v>
      </c>
      <c r="V58" s="206">
        <f t="shared" si="22"/>
        <v>0.92320000000000002</v>
      </c>
    </row>
    <row r="59" spans="1:22">
      <c r="A59" s="53"/>
      <c r="B59" s="54">
        <f>B60</f>
        <v>1.0081</v>
      </c>
      <c r="C59" s="54">
        <f t="shared" ref="C59:V59" si="23">C60</f>
        <v>0</v>
      </c>
      <c r="D59" s="54">
        <f t="shared" si="23"/>
        <v>0</v>
      </c>
      <c r="E59" s="54">
        <f t="shared" si="23"/>
        <v>1.5070595005306422</v>
      </c>
      <c r="F59" s="54">
        <f t="shared" si="23"/>
        <v>-4.4376929496324066E-3</v>
      </c>
      <c r="G59" s="54">
        <f t="shared" si="23"/>
        <v>1.2473332488371783E-3</v>
      </c>
      <c r="H59" s="54">
        <f t="shared" si="23"/>
        <v>2.8079966389456712E-5</v>
      </c>
      <c r="I59" s="54">
        <f t="shared" si="23"/>
        <v>1.6115590391006585E-3</v>
      </c>
      <c r="J59" s="54">
        <f t="shared" si="23"/>
        <v>-7.1384068779810819E-5</v>
      </c>
      <c r="K59" s="55">
        <f t="shared" si="23"/>
        <v>20362089.46121813</v>
      </c>
      <c r="L59" s="56">
        <f t="shared" si="23"/>
        <v>43856.025205533057</v>
      </c>
      <c r="M59" s="55">
        <f t="shared" si="23"/>
        <v>56820.223992959254</v>
      </c>
      <c r="N59" s="56">
        <f t="shared" si="23"/>
        <v>453.91662846025116</v>
      </c>
      <c r="O59" s="55">
        <f t="shared" si="23"/>
        <v>8013.4642549805931</v>
      </c>
      <c r="P59" s="56">
        <f t="shared" si="23"/>
        <v>-65.455177019139143</v>
      </c>
      <c r="Q59" s="55">
        <f t="shared" si="23"/>
        <v>279.75481215103724</v>
      </c>
      <c r="R59" s="56">
        <f t="shared" si="23"/>
        <v>600527.14848011115</v>
      </c>
      <c r="S59" s="55">
        <f t="shared" si="23"/>
        <v>531596.47234446229</v>
      </c>
      <c r="T59" s="55">
        <f t="shared" si="23"/>
        <v>1725.0789399114963</v>
      </c>
      <c r="U59" s="55">
        <f t="shared" si="23"/>
        <v>1852.9462643829249</v>
      </c>
      <c r="V59" s="206">
        <f t="shared" si="23"/>
        <v>1.0081</v>
      </c>
    </row>
    <row r="60" spans="1:22">
      <c r="A60" s="53">
        <f t="shared" ref="A60:V60" si="24">A15</f>
        <v>12</v>
      </c>
      <c r="B60" s="54">
        <f t="shared" si="24"/>
        <v>1.0081</v>
      </c>
      <c r="C60" s="54">
        <f t="shared" si="24"/>
        <v>0</v>
      </c>
      <c r="D60" s="54">
        <f t="shared" si="24"/>
        <v>0</v>
      </c>
      <c r="E60" s="54">
        <f t="shared" si="24"/>
        <v>1.5070595005306422</v>
      </c>
      <c r="F60" s="54">
        <f t="shared" si="24"/>
        <v>-4.4376929496324066E-3</v>
      </c>
      <c r="G60" s="54">
        <f t="shared" si="24"/>
        <v>1.2473332488371783E-3</v>
      </c>
      <c r="H60" s="54">
        <f t="shared" si="24"/>
        <v>2.8079966389456712E-5</v>
      </c>
      <c r="I60" s="54">
        <f t="shared" si="24"/>
        <v>1.6115590391006585E-3</v>
      </c>
      <c r="J60" s="54">
        <f t="shared" si="24"/>
        <v>-7.1384068779810819E-5</v>
      </c>
      <c r="K60" s="55">
        <f t="shared" si="24"/>
        <v>20362089.46121813</v>
      </c>
      <c r="L60" s="56">
        <f t="shared" si="24"/>
        <v>43856.025205533057</v>
      </c>
      <c r="M60" s="55">
        <f t="shared" si="24"/>
        <v>56820.223992959254</v>
      </c>
      <c r="N60" s="56">
        <f t="shared" si="24"/>
        <v>453.91662846025116</v>
      </c>
      <c r="O60" s="55">
        <f t="shared" si="24"/>
        <v>8013.4642549805931</v>
      </c>
      <c r="P60" s="56">
        <f t="shared" si="24"/>
        <v>-65.455177019139143</v>
      </c>
      <c r="Q60" s="55">
        <f t="shared" si="24"/>
        <v>279.75481215103724</v>
      </c>
      <c r="R60" s="56">
        <f t="shared" si="24"/>
        <v>600527.14848011115</v>
      </c>
      <c r="S60" s="55">
        <f t="shared" si="24"/>
        <v>531596.47234446229</v>
      </c>
      <c r="T60" s="55">
        <f t="shared" si="24"/>
        <v>1725.0789399114963</v>
      </c>
      <c r="U60" s="55">
        <f t="shared" si="24"/>
        <v>1852.9462643829249</v>
      </c>
      <c r="V60" s="206">
        <f t="shared" si="24"/>
        <v>1.0081</v>
      </c>
    </row>
    <row r="61" spans="1:22">
      <c r="A61" s="53"/>
      <c r="B61" s="54">
        <f>B62</f>
        <v>1.0920000000000001</v>
      </c>
      <c r="C61" s="54">
        <f t="shared" ref="C61:V61" si="25">C62</f>
        <v>0</v>
      </c>
      <c r="D61" s="54">
        <f t="shared" si="25"/>
        <v>0</v>
      </c>
      <c r="E61" s="54">
        <f t="shared" si="25"/>
        <v>1.4180848400036565</v>
      </c>
      <c r="F61" s="54">
        <f t="shared" si="25"/>
        <v>-6.4760649867955421E-3</v>
      </c>
      <c r="G61" s="54">
        <f t="shared" si="25"/>
        <v>1.1280761177573531E-3</v>
      </c>
      <c r="H61" s="54">
        <f t="shared" si="25"/>
        <v>1.8794008317397213E-5</v>
      </c>
      <c r="I61" s="54">
        <f t="shared" si="25"/>
        <v>1.5071895104871863E-3</v>
      </c>
      <c r="J61" s="54">
        <f t="shared" si="25"/>
        <v>-4.6970320100472332E-5</v>
      </c>
      <c r="K61" s="55">
        <f t="shared" si="25"/>
        <v>18940326.334258877</v>
      </c>
      <c r="L61" s="56">
        <f t="shared" si="25"/>
        <v>41791.220703837316</v>
      </c>
      <c r="M61" s="55">
        <f t="shared" si="25"/>
        <v>82359.49009715041</v>
      </c>
      <c r="N61" s="56">
        <f t="shared" si="25"/>
        <v>312.66008996679409</v>
      </c>
      <c r="O61" s="55">
        <f t="shared" si="25"/>
        <v>7215.0433561677701</v>
      </c>
      <c r="P61" s="56">
        <f t="shared" si="25"/>
        <v>129.44784567403758</v>
      </c>
      <c r="Q61" s="55">
        <f t="shared" si="25"/>
        <v>190.30726299731683</v>
      </c>
      <c r="R61" s="56">
        <f t="shared" si="25"/>
        <v>435084.17256793776</v>
      </c>
      <c r="S61" s="55">
        <f t="shared" si="25"/>
        <v>385090.34457640187</v>
      </c>
      <c r="T61" s="55">
        <f t="shared" si="25"/>
        <v>1201.6037906452382</v>
      </c>
      <c r="U61" s="55">
        <f t="shared" si="25"/>
        <v>2612.3240233424808</v>
      </c>
      <c r="V61" s="206">
        <f t="shared" si="25"/>
        <v>1.0920000000000001</v>
      </c>
    </row>
    <row r="62" spans="1:22">
      <c r="A62" s="53">
        <f t="shared" ref="A62:V62" si="26">A16</f>
        <v>13</v>
      </c>
      <c r="B62" s="54">
        <f t="shared" si="26"/>
        <v>1.0920000000000001</v>
      </c>
      <c r="C62" s="54">
        <f t="shared" si="26"/>
        <v>0</v>
      </c>
      <c r="D62" s="54">
        <f t="shared" si="26"/>
        <v>0</v>
      </c>
      <c r="E62" s="54">
        <f t="shared" si="26"/>
        <v>1.4180848400036565</v>
      </c>
      <c r="F62" s="54">
        <f t="shared" si="26"/>
        <v>-6.4760649867955421E-3</v>
      </c>
      <c r="G62" s="54">
        <f t="shared" si="26"/>
        <v>1.1280761177573531E-3</v>
      </c>
      <c r="H62" s="54">
        <f t="shared" si="26"/>
        <v>1.8794008317397213E-5</v>
      </c>
      <c r="I62" s="54">
        <f t="shared" si="26"/>
        <v>1.5071895104871863E-3</v>
      </c>
      <c r="J62" s="54">
        <f t="shared" si="26"/>
        <v>-4.6970320100472332E-5</v>
      </c>
      <c r="K62" s="55">
        <f t="shared" si="26"/>
        <v>18940326.334258877</v>
      </c>
      <c r="L62" s="56">
        <f t="shared" si="26"/>
        <v>41791.220703837316</v>
      </c>
      <c r="M62" s="55">
        <f t="shared" si="26"/>
        <v>82359.49009715041</v>
      </c>
      <c r="N62" s="56">
        <f t="shared" si="26"/>
        <v>312.66008996679409</v>
      </c>
      <c r="O62" s="55">
        <f t="shared" si="26"/>
        <v>7215.0433561677701</v>
      </c>
      <c r="P62" s="56">
        <f t="shared" si="26"/>
        <v>129.44784567403758</v>
      </c>
      <c r="Q62" s="55">
        <f t="shared" si="26"/>
        <v>190.30726299731683</v>
      </c>
      <c r="R62" s="56">
        <f t="shared" si="26"/>
        <v>435084.17256793776</v>
      </c>
      <c r="S62" s="55">
        <f t="shared" si="26"/>
        <v>385090.34457640187</v>
      </c>
      <c r="T62" s="55">
        <f t="shared" si="26"/>
        <v>1201.6037906452382</v>
      </c>
      <c r="U62" s="55">
        <f t="shared" si="26"/>
        <v>2612.3240233424808</v>
      </c>
      <c r="V62" s="206">
        <f t="shared" si="26"/>
        <v>1.0920000000000001</v>
      </c>
    </row>
    <row r="63" spans="1:22">
      <c r="A63" s="53"/>
      <c r="B63" s="54">
        <f>B64</f>
        <v>1.1758999999999999</v>
      </c>
      <c r="C63" s="54">
        <f t="shared" ref="C63:V63" si="27">C64</f>
        <v>0</v>
      </c>
      <c r="D63" s="54">
        <f t="shared" si="27"/>
        <v>0</v>
      </c>
      <c r="E63" s="54">
        <f t="shared" si="27"/>
        <v>1.2236783894940915</v>
      </c>
      <c r="F63" s="54">
        <f t="shared" si="27"/>
        <v>1.7734140435041244E-5</v>
      </c>
      <c r="G63" s="54">
        <f t="shared" si="27"/>
        <v>1.4190250946955398E-3</v>
      </c>
      <c r="H63" s="54">
        <f t="shared" si="27"/>
        <v>1.8245418231199204E-5</v>
      </c>
      <c r="I63" s="54">
        <f t="shared" si="27"/>
        <v>1.3411793013143459E-3</v>
      </c>
      <c r="J63" s="54">
        <f t="shared" si="27"/>
        <v>-1.6717834792001519E-5</v>
      </c>
      <c r="K63" s="55">
        <f t="shared" si="27"/>
        <v>18894276.245735459</v>
      </c>
      <c r="L63" s="56">
        <f t="shared" si="27"/>
        <v>41752.571647826204</v>
      </c>
      <c r="M63" s="55">
        <f t="shared" si="27"/>
        <v>84464.972528935774</v>
      </c>
      <c r="N63" s="56">
        <f t="shared" si="27"/>
        <v>305.85715484014747</v>
      </c>
      <c r="O63" s="55">
        <f t="shared" si="27"/>
        <v>7207.784537149897</v>
      </c>
      <c r="P63" s="56">
        <f t="shared" si="27"/>
        <v>216.96048259824661</v>
      </c>
      <c r="Q63" s="55">
        <f t="shared" si="27"/>
        <v>186.33152179802639</v>
      </c>
      <c r="R63" s="56">
        <f t="shared" si="27"/>
        <v>426445.66685777594</v>
      </c>
      <c r="S63" s="55">
        <f t="shared" si="27"/>
        <v>377428.97496559744</v>
      </c>
      <c r="T63" s="55">
        <f t="shared" si="27"/>
        <v>1186.5086990657298</v>
      </c>
      <c r="U63" s="55">
        <f t="shared" si="27"/>
        <v>2686.6331328779038</v>
      </c>
      <c r="V63" s="206">
        <f t="shared" si="27"/>
        <v>1.1758999999999999</v>
      </c>
    </row>
    <row r="64" spans="1:22">
      <c r="A64" s="53">
        <f t="shared" ref="A64:V64" si="28">A17</f>
        <v>14</v>
      </c>
      <c r="B64" s="54">
        <f t="shared" si="28"/>
        <v>1.1758999999999999</v>
      </c>
      <c r="C64" s="54">
        <f t="shared" si="28"/>
        <v>0</v>
      </c>
      <c r="D64" s="54">
        <f t="shared" si="28"/>
        <v>0</v>
      </c>
      <c r="E64" s="54">
        <f t="shared" si="28"/>
        <v>1.2236783894940915</v>
      </c>
      <c r="F64" s="54">
        <f t="shared" si="28"/>
        <v>1.7734140435041244E-5</v>
      </c>
      <c r="G64" s="54">
        <f t="shared" si="28"/>
        <v>1.4190250946955398E-3</v>
      </c>
      <c r="H64" s="54">
        <f t="shared" si="28"/>
        <v>1.8245418231199204E-5</v>
      </c>
      <c r="I64" s="54">
        <f t="shared" si="28"/>
        <v>1.3411793013143459E-3</v>
      </c>
      <c r="J64" s="54">
        <f t="shared" si="28"/>
        <v>-1.6717834792001519E-5</v>
      </c>
      <c r="K64" s="55">
        <f t="shared" si="28"/>
        <v>18894276.245735459</v>
      </c>
      <c r="L64" s="56">
        <f t="shared" si="28"/>
        <v>41752.571647826204</v>
      </c>
      <c r="M64" s="55">
        <f t="shared" si="28"/>
        <v>84464.972528935774</v>
      </c>
      <c r="N64" s="56">
        <f t="shared" si="28"/>
        <v>305.85715484014747</v>
      </c>
      <c r="O64" s="55">
        <f t="shared" si="28"/>
        <v>7207.784537149897</v>
      </c>
      <c r="P64" s="56">
        <f t="shared" si="28"/>
        <v>216.96048259824661</v>
      </c>
      <c r="Q64" s="55">
        <f t="shared" si="28"/>
        <v>186.33152179802639</v>
      </c>
      <c r="R64" s="56">
        <f t="shared" si="28"/>
        <v>426445.66685777594</v>
      </c>
      <c r="S64" s="55">
        <f t="shared" si="28"/>
        <v>377428.97496559744</v>
      </c>
      <c r="T64" s="55">
        <f t="shared" si="28"/>
        <v>1186.5086990657298</v>
      </c>
      <c r="U64" s="55">
        <f t="shared" si="28"/>
        <v>2686.6331328779038</v>
      </c>
      <c r="V64" s="206">
        <f t="shared" si="28"/>
        <v>1.1758999999999999</v>
      </c>
    </row>
    <row r="65" spans="1:23">
      <c r="A65" s="53"/>
      <c r="B65" s="54">
        <f>B66</f>
        <v>1.2613000000000001</v>
      </c>
      <c r="C65" s="54">
        <f t="shared" ref="C65:V65" si="29">C66</f>
        <v>0</v>
      </c>
      <c r="D65" s="54">
        <f t="shared" si="29"/>
        <v>0</v>
      </c>
      <c r="E65" s="54">
        <f t="shared" si="29"/>
        <v>1.2830642987727099</v>
      </c>
      <c r="F65" s="54">
        <f t="shared" si="29"/>
        <v>-2.4982796898985649E-3</v>
      </c>
      <c r="G65" s="54">
        <f t="shared" si="29"/>
        <v>1.1743535146974311E-3</v>
      </c>
      <c r="H65" s="54">
        <f t="shared" si="29"/>
        <v>1.4415944675758141E-5</v>
      </c>
      <c r="I65" s="54">
        <f t="shared" si="29"/>
        <v>1.3598050068337687E-3</v>
      </c>
      <c r="J65" s="54">
        <f t="shared" si="29"/>
        <v>8.767261299905913E-7</v>
      </c>
      <c r="K65" s="55">
        <f t="shared" si="29"/>
        <v>17238929.742110338</v>
      </c>
      <c r="L65" s="56">
        <f t="shared" si="29"/>
        <v>31086.157375432929</v>
      </c>
      <c r="M65" s="55">
        <f t="shared" si="29"/>
        <v>88565.924144660297</v>
      </c>
      <c r="N65" s="56">
        <f t="shared" si="29"/>
        <v>218.1683615776497</v>
      </c>
      <c r="O65" s="55">
        <f t="shared" si="29"/>
        <v>6821.9127384754647</v>
      </c>
      <c r="P65" s="56">
        <f t="shared" si="29"/>
        <v>260.19373206026546</v>
      </c>
      <c r="Q65" s="55">
        <f t="shared" si="29"/>
        <v>143.91695587557757</v>
      </c>
      <c r="R65" s="56">
        <f t="shared" si="29"/>
        <v>328483.48768778367</v>
      </c>
      <c r="S65" s="55">
        <f t="shared" si="29"/>
        <v>290739.89902961976</v>
      </c>
      <c r="T65" s="55">
        <f t="shared" si="29"/>
        <v>771.9276739646084</v>
      </c>
      <c r="U65" s="55">
        <f t="shared" si="29"/>
        <v>1823.1946998850851</v>
      </c>
      <c r="V65" s="206">
        <f t="shared" si="29"/>
        <v>1.2613000000000001</v>
      </c>
    </row>
    <row r="66" spans="1:23">
      <c r="A66" s="53">
        <f t="shared" ref="A66:V66" si="30">A18</f>
        <v>15</v>
      </c>
      <c r="B66" s="54">
        <f t="shared" si="30"/>
        <v>1.2613000000000001</v>
      </c>
      <c r="C66" s="54">
        <f t="shared" si="30"/>
        <v>0</v>
      </c>
      <c r="D66" s="54">
        <f t="shared" si="30"/>
        <v>0</v>
      </c>
      <c r="E66" s="54">
        <f t="shared" si="30"/>
        <v>1.2830642987727099</v>
      </c>
      <c r="F66" s="54">
        <f t="shared" si="30"/>
        <v>-2.4982796898985649E-3</v>
      </c>
      <c r="G66" s="54">
        <f t="shared" si="30"/>
        <v>1.1743535146974311E-3</v>
      </c>
      <c r="H66" s="54">
        <f t="shared" si="30"/>
        <v>1.4415944675758141E-5</v>
      </c>
      <c r="I66" s="54">
        <f t="shared" si="30"/>
        <v>1.3598050068337687E-3</v>
      </c>
      <c r="J66" s="54">
        <f t="shared" si="30"/>
        <v>8.767261299905913E-7</v>
      </c>
      <c r="K66" s="55">
        <f t="shared" si="30"/>
        <v>17238929.742110338</v>
      </c>
      <c r="L66" s="56">
        <f t="shared" si="30"/>
        <v>31086.157375432929</v>
      </c>
      <c r="M66" s="55">
        <f t="shared" si="30"/>
        <v>88565.924144660297</v>
      </c>
      <c r="N66" s="56">
        <f t="shared" si="30"/>
        <v>218.1683615776497</v>
      </c>
      <c r="O66" s="55">
        <f t="shared" si="30"/>
        <v>6821.9127384754647</v>
      </c>
      <c r="P66" s="56">
        <f t="shared" si="30"/>
        <v>260.19373206026546</v>
      </c>
      <c r="Q66" s="55">
        <f t="shared" si="30"/>
        <v>143.91695587557757</v>
      </c>
      <c r="R66" s="56">
        <f t="shared" si="30"/>
        <v>328483.48768778367</v>
      </c>
      <c r="S66" s="55">
        <f t="shared" si="30"/>
        <v>290739.89902961976</v>
      </c>
      <c r="T66" s="55">
        <f t="shared" si="30"/>
        <v>771.9276739646084</v>
      </c>
      <c r="U66" s="55">
        <f t="shared" si="30"/>
        <v>1823.1946998850851</v>
      </c>
      <c r="V66" s="206">
        <f t="shared" si="30"/>
        <v>1.2613000000000001</v>
      </c>
    </row>
    <row r="67" spans="1:23">
      <c r="A67" s="53"/>
      <c r="B67" s="54">
        <f>B68</f>
        <v>1.3448</v>
      </c>
      <c r="C67" s="54">
        <f t="shared" ref="C67:V67" si="31">C68</f>
        <v>0</v>
      </c>
      <c r="D67" s="54">
        <f t="shared" si="31"/>
        <v>0</v>
      </c>
      <c r="E67" s="54">
        <f t="shared" si="31"/>
        <v>1.4489193299347267</v>
      </c>
      <c r="F67" s="54">
        <f t="shared" si="31"/>
        <v>-8.1200455650608343E-3</v>
      </c>
      <c r="G67" s="54">
        <f t="shared" si="31"/>
        <v>8.189242049122643E-4</v>
      </c>
      <c r="H67" s="54">
        <f t="shared" si="31"/>
        <v>8.7522508538671893E-6</v>
      </c>
      <c r="I67" s="54">
        <f t="shared" si="31"/>
        <v>1.4384189178592117E-3</v>
      </c>
      <c r="J67" s="54">
        <f t="shared" si="31"/>
        <v>2.1903706994012931E-5</v>
      </c>
      <c r="K67" s="55">
        <f t="shared" si="31"/>
        <v>14054961.873543644</v>
      </c>
      <c r="L67" s="56">
        <f t="shared" si="31"/>
        <v>13446.51665427545</v>
      </c>
      <c r="M67" s="55">
        <f t="shared" si="31"/>
        <v>91306.079904700207</v>
      </c>
      <c r="N67" s="56">
        <f t="shared" si="31"/>
        <v>92.096166573349123</v>
      </c>
      <c r="O67" s="55">
        <f t="shared" si="31"/>
        <v>6075.0994726281997</v>
      </c>
      <c r="P67" s="56">
        <f t="shared" si="31"/>
        <v>238.14380700878371</v>
      </c>
      <c r="Q67" s="55">
        <f t="shared" si="31"/>
        <v>82.100150206068975</v>
      </c>
      <c r="R67" s="56">
        <f t="shared" si="31"/>
        <v>179842.04809939186</v>
      </c>
      <c r="S67" s="55">
        <f t="shared" si="31"/>
        <v>159192.64426205563</v>
      </c>
      <c r="T67" s="55">
        <f t="shared" si="31"/>
        <v>285.53625638346085</v>
      </c>
      <c r="U67" s="55">
        <f t="shared" si="31"/>
        <v>1220.7129095470477</v>
      </c>
      <c r="V67" s="206">
        <f t="shared" si="31"/>
        <v>1.3448</v>
      </c>
    </row>
    <row r="68" spans="1:23">
      <c r="A68" s="53">
        <f t="shared" ref="A68:V68" si="32">A19</f>
        <v>16</v>
      </c>
      <c r="B68" s="54">
        <f t="shared" si="32"/>
        <v>1.3448</v>
      </c>
      <c r="C68" s="54">
        <f t="shared" si="32"/>
        <v>0</v>
      </c>
      <c r="D68" s="54">
        <f t="shared" si="32"/>
        <v>0</v>
      </c>
      <c r="E68" s="54">
        <f t="shared" si="32"/>
        <v>1.4489193299347267</v>
      </c>
      <c r="F68" s="54">
        <f t="shared" si="32"/>
        <v>-8.1200455650608343E-3</v>
      </c>
      <c r="G68" s="54">
        <f t="shared" si="32"/>
        <v>8.189242049122643E-4</v>
      </c>
      <c r="H68" s="54">
        <f t="shared" si="32"/>
        <v>8.7522508538671893E-6</v>
      </c>
      <c r="I68" s="54">
        <f t="shared" si="32"/>
        <v>1.4384189178592117E-3</v>
      </c>
      <c r="J68" s="54">
        <f t="shared" si="32"/>
        <v>2.1903706994012931E-5</v>
      </c>
      <c r="K68" s="55">
        <f t="shared" si="32"/>
        <v>14054961.873543644</v>
      </c>
      <c r="L68" s="56">
        <f t="shared" si="32"/>
        <v>13446.51665427545</v>
      </c>
      <c r="M68" s="55">
        <f t="shared" si="32"/>
        <v>91306.079904700207</v>
      </c>
      <c r="N68" s="56">
        <f t="shared" si="32"/>
        <v>92.096166573349123</v>
      </c>
      <c r="O68" s="55">
        <f t="shared" si="32"/>
        <v>6075.0994726281997</v>
      </c>
      <c r="P68" s="56">
        <f t="shared" si="32"/>
        <v>238.14380700878371</v>
      </c>
      <c r="Q68" s="55">
        <f t="shared" si="32"/>
        <v>82.100150206068975</v>
      </c>
      <c r="R68" s="56">
        <f t="shared" si="32"/>
        <v>179842.04809939186</v>
      </c>
      <c r="S68" s="55">
        <f t="shared" si="32"/>
        <v>159192.64426205563</v>
      </c>
      <c r="T68" s="55">
        <f t="shared" si="32"/>
        <v>285.53625638346085</v>
      </c>
      <c r="U68" s="55">
        <f t="shared" si="32"/>
        <v>1220.7129095470477</v>
      </c>
      <c r="V68" s="206">
        <f t="shared" si="32"/>
        <v>1.3448</v>
      </c>
    </row>
    <row r="69" spans="1:23">
      <c r="A69" s="53"/>
      <c r="B69" s="54">
        <f>B70</f>
        <v>1.4292</v>
      </c>
      <c r="C69" s="54">
        <f t="shared" ref="C69:V69" si="33">C70</f>
        <v>0</v>
      </c>
      <c r="D69" s="54">
        <f t="shared" si="33"/>
        <v>0</v>
      </c>
      <c r="E69" s="54">
        <f t="shared" si="33"/>
        <v>1.2792319464847908</v>
      </c>
      <c r="F69" s="54">
        <f t="shared" si="33"/>
        <v>-4.533017083740278E-3</v>
      </c>
      <c r="G69" s="54">
        <f t="shared" si="33"/>
        <v>9.6952338028980694E-4</v>
      </c>
      <c r="H69" s="54">
        <f t="shared" si="33"/>
        <v>9.9189083631397951E-6</v>
      </c>
      <c r="I69" s="54">
        <f t="shared" si="33"/>
        <v>1.3183225268815369E-3</v>
      </c>
      <c r="J69" s="54">
        <f t="shared" si="33"/>
        <v>4.848138558146232E-5</v>
      </c>
      <c r="K69" s="55">
        <f t="shared" si="33"/>
        <v>13833969.223582998</v>
      </c>
      <c r="L69" s="56">
        <f t="shared" si="33"/>
        <v>12298.398639765284</v>
      </c>
      <c r="M69" s="55">
        <f t="shared" si="33"/>
        <v>91586.329728295997</v>
      </c>
      <c r="N69" s="56">
        <f t="shared" si="33"/>
        <v>89.396798227126041</v>
      </c>
      <c r="O69" s="55">
        <f t="shared" si="33"/>
        <v>6039.7366099443143</v>
      </c>
      <c r="P69" s="56">
        <f t="shared" si="33"/>
        <v>298.09670275147062</v>
      </c>
      <c r="Q69" s="55">
        <f t="shared" si="33"/>
        <v>78.345940145025665</v>
      </c>
      <c r="R69" s="56">
        <f t="shared" si="33"/>
        <v>170018.010628121</v>
      </c>
      <c r="S69" s="55">
        <f t="shared" si="33"/>
        <v>150526.8317893419</v>
      </c>
      <c r="T69" s="55">
        <f t="shared" si="33"/>
        <v>254.9561891521127</v>
      </c>
      <c r="U69" s="55">
        <f t="shared" si="33"/>
        <v>1208.2091660079498</v>
      </c>
      <c r="V69" s="206">
        <f t="shared" si="33"/>
        <v>1.4292</v>
      </c>
    </row>
    <row r="70" spans="1:23">
      <c r="A70" s="53">
        <f t="shared" ref="A70:V70" si="34">A20</f>
        <v>17</v>
      </c>
      <c r="B70" s="54">
        <f t="shared" si="34"/>
        <v>1.4292</v>
      </c>
      <c r="C70" s="54">
        <f t="shared" si="34"/>
        <v>0</v>
      </c>
      <c r="D70" s="54">
        <f t="shared" si="34"/>
        <v>0</v>
      </c>
      <c r="E70" s="54">
        <f t="shared" si="34"/>
        <v>1.2792319464847908</v>
      </c>
      <c r="F70" s="54">
        <f t="shared" si="34"/>
        <v>-4.533017083740278E-3</v>
      </c>
      <c r="G70" s="54">
        <f t="shared" si="34"/>
        <v>9.6952338028980694E-4</v>
      </c>
      <c r="H70" s="54">
        <f t="shared" si="34"/>
        <v>9.9189083631397951E-6</v>
      </c>
      <c r="I70" s="54">
        <f t="shared" si="34"/>
        <v>1.3183225268815369E-3</v>
      </c>
      <c r="J70" s="54">
        <f t="shared" si="34"/>
        <v>4.848138558146232E-5</v>
      </c>
      <c r="K70" s="55">
        <f t="shared" si="34"/>
        <v>13833969.223582998</v>
      </c>
      <c r="L70" s="56">
        <f t="shared" si="34"/>
        <v>12298.398639765284</v>
      </c>
      <c r="M70" s="55">
        <f t="shared" si="34"/>
        <v>91586.329728295997</v>
      </c>
      <c r="N70" s="56">
        <f t="shared" si="34"/>
        <v>89.396798227126041</v>
      </c>
      <c r="O70" s="55">
        <f t="shared" si="34"/>
        <v>6039.7366099443143</v>
      </c>
      <c r="P70" s="56">
        <f t="shared" si="34"/>
        <v>298.09670275147062</v>
      </c>
      <c r="Q70" s="55">
        <f t="shared" si="34"/>
        <v>78.345940145025665</v>
      </c>
      <c r="R70" s="56">
        <f t="shared" si="34"/>
        <v>170018.010628121</v>
      </c>
      <c r="S70" s="55">
        <f t="shared" si="34"/>
        <v>150526.8317893419</v>
      </c>
      <c r="T70" s="55">
        <f t="shared" si="34"/>
        <v>254.9561891521127</v>
      </c>
      <c r="U70" s="55">
        <f t="shared" si="34"/>
        <v>1208.2091660079498</v>
      </c>
      <c r="V70" s="206">
        <f t="shared" si="34"/>
        <v>1.4292</v>
      </c>
    </row>
    <row r="71" spans="1:23">
      <c r="A71" s="53"/>
      <c r="B71" s="54">
        <f>B72</f>
        <v>1.482</v>
      </c>
      <c r="C71" s="54">
        <f t="shared" ref="C71:V71" si="35">C72</f>
        <v>0</v>
      </c>
      <c r="D71" s="54">
        <f t="shared" si="35"/>
        <v>0</v>
      </c>
      <c r="E71" s="54">
        <f t="shared" si="35"/>
        <v>1.2000401740776856</v>
      </c>
      <c r="F71" s="54">
        <f t="shared" si="35"/>
        <v>-1.7425580650707218E-3</v>
      </c>
      <c r="G71" s="54">
        <f t="shared" si="35"/>
        <v>5.3503309420411724E-4</v>
      </c>
      <c r="H71" s="54">
        <f t="shared" si="35"/>
        <v>8.7090800948928043E-6</v>
      </c>
      <c r="I71" s="54">
        <f t="shared" si="35"/>
        <v>1.2623428560719142E-3</v>
      </c>
      <c r="J71" s="54">
        <f t="shared" si="35"/>
        <v>4.1223938249966959E-5</v>
      </c>
      <c r="K71" s="55">
        <f t="shared" si="35"/>
        <v>13878613.8380544</v>
      </c>
      <c r="L71" s="56">
        <f t="shared" si="35"/>
        <v>12339.378801141302</v>
      </c>
      <c r="M71" s="55">
        <f t="shared" si="35"/>
        <v>92015.920271774405</v>
      </c>
      <c r="N71" s="56">
        <f t="shared" si="35"/>
        <v>92.924600605738817</v>
      </c>
      <c r="O71" s="55">
        <f t="shared" si="35"/>
        <v>6051.0083568361106</v>
      </c>
      <c r="P71" s="56">
        <f t="shared" si="35"/>
        <v>339.04075216725471</v>
      </c>
      <c r="Q71" s="55">
        <f t="shared" si="35"/>
        <v>79.21002772919671</v>
      </c>
      <c r="R71" s="56">
        <f t="shared" si="35"/>
        <v>171695.12268481535</v>
      </c>
      <c r="S71" s="55">
        <f t="shared" si="35"/>
        <v>152031.77071000138</v>
      </c>
      <c r="T71" s="55">
        <f t="shared" si="35"/>
        <v>258.88869128294493</v>
      </c>
      <c r="U71" s="55">
        <f t="shared" si="35"/>
        <v>1265.4877141292075</v>
      </c>
      <c r="V71" s="206">
        <f t="shared" si="35"/>
        <v>1.482</v>
      </c>
      <c r="W71" s="54"/>
    </row>
    <row r="72" spans="1:23">
      <c r="A72" s="53">
        <v>18</v>
      </c>
      <c r="B72" s="54">
        <f t="shared" ref="B72" si="36">B21</f>
        <v>1.482</v>
      </c>
      <c r="C72" s="54">
        <f t="shared" ref="C72:V72" si="37">C21</f>
        <v>0</v>
      </c>
      <c r="D72" s="54">
        <f t="shared" si="37"/>
        <v>0</v>
      </c>
      <c r="E72" s="54">
        <f t="shared" si="37"/>
        <v>1.2000401740776856</v>
      </c>
      <c r="F72" s="54">
        <f t="shared" si="37"/>
        <v>-1.7425580650707218E-3</v>
      </c>
      <c r="G72" s="54">
        <f t="shared" si="37"/>
        <v>5.3503309420411724E-4</v>
      </c>
      <c r="H72" s="54">
        <f t="shared" si="37"/>
        <v>8.7090800948928043E-6</v>
      </c>
      <c r="I72" s="54">
        <f t="shared" si="37"/>
        <v>1.2623428560719142E-3</v>
      </c>
      <c r="J72" s="54">
        <f t="shared" si="37"/>
        <v>4.1223938249966959E-5</v>
      </c>
      <c r="K72" s="55">
        <f t="shared" si="37"/>
        <v>13878613.8380544</v>
      </c>
      <c r="L72" s="56">
        <f t="shared" si="37"/>
        <v>12339.378801141302</v>
      </c>
      <c r="M72" s="55">
        <f t="shared" si="37"/>
        <v>92015.920271774405</v>
      </c>
      <c r="N72" s="56">
        <f t="shared" si="37"/>
        <v>92.924600605738817</v>
      </c>
      <c r="O72" s="55">
        <f t="shared" si="37"/>
        <v>6051.0083568361106</v>
      </c>
      <c r="P72" s="56">
        <f t="shared" si="37"/>
        <v>339.04075216725471</v>
      </c>
      <c r="Q72" s="55">
        <f t="shared" si="37"/>
        <v>79.21002772919671</v>
      </c>
      <c r="R72" s="56">
        <f t="shared" si="37"/>
        <v>171695.12268481535</v>
      </c>
      <c r="S72" s="55">
        <f t="shared" si="37"/>
        <v>152031.77071000138</v>
      </c>
      <c r="T72" s="55">
        <f t="shared" si="37"/>
        <v>258.88869128294493</v>
      </c>
      <c r="U72" s="55">
        <f t="shared" si="37"/>
        <v>1265.4877141292075</v>
      </c>
      <c r="V72" s="206">
        <f t="shared" si="37"/>
        <v>1.482</v>
      </c>
      <c r="W72" s="54"/>
    </row>
    <row r="73" spans="1:23">
      <c r="A73" s="53"/>
      <c r="B73" s="54">
        <f>B74</f>
        <v>1.5161</v>
      </c>
      <c r="C73" s="54">
        <f t="shared" ref="C73:V73" si="38">C74</f>
        <v>0</v>
      </c>
      <c r="D73" s="54">
        <f t="shared" si="38"/>
        <v>0</v>
      </c>
      <c r="E73" s="54">
        <f t="shared" si="38"/>
        <v>1.0598026820632047</v>
      </c>
      <c r="F73" s="54">
        <f t="shared" si="38"/>
        <v>3.9091937915035103E-3</v>
      </c>
      <c r="G73" s="54">
        <f t="shared" si="38"/>
        <v>4.3307636108691017E-4</v>
      </c>
      <c r="H73" s="54">
        <f t="shared" si="38"/>
        <v>7.9254360412785605E-6</v>
      </c>
      <c r="I73" s="54">
        <f t="shared" si="38"/>
        <v>1.2016793447934503E-3</v>
      </c>
      <c r="J73" s="54">
        <f t="shared" si="38"/>
        <v>3.965657500243518E-5</v>
      </c>
      <c r="K73" s="55">
        <f t="shared" si="38"/>
        <v>11769111.766538538</v>
      </c>
      <c r="L73" s="56">
        <f t="shared" si="38"/>
        <v>10282.245581751797</v>
      </c>
      <c r="M73" s="55">
        <f t="shared" si="38"/>
        <v>81264.035475472963</v>
      </c>
      <c r="N73" s="56">
        <f t="shared" si="38"/>
        <v>74.006486078706629</v>
      </c>
      <c r="O73" s="55">
        <f t="shared" si="38"/>
        <v>5006.3962150544103</v>
      </c>
      <c r="P73" s="56">
        <f t="shared" si="38"/>
        <v>289.06158688730085</v>
      </c>
      <c r="Q73" s="55">
        <f t="shared" si="38"/>
        <v>62.116831773514463</v>
      </c>
      <c r="R73" s="56">
        <f t="shared" si="38"/>
        <v>135310.77686918364</v>
      </c>
      <c r="S73" s="55">
        <f t="shared" si="38"/>
        <v>119821.31247717874</v>
      </c>
      <c r="T73" s="55">
        <f t="shared" si="38"/>
        <v>212.47416036079775</v>
      </c>
      <c r="U73" s="55">
        <f t="shared" si="38"/>
        <v>978.77493140658521</v>
      </c>
      <c r="V73" s="206">
        <f t="shared" si="38"/>
        <v>1.5161</v>
      </c>
      <c r="W73" s="54"/>
    </row>
    <row r="74" spans="1:23">
      <c r="A74" s="53">
        <v>19</v>
      </c>
      <c r="B74" s="54">
        <f t="shared" ref="B74" si="39">B22</f>
        <v>1.5161</v>
      </c>
      <c r="C74" s="54">
        <f t="shared" ref="C74:V74" si="40">C22</f>
        <v>0</v>
      </c>
      <c r="D74" s="54">
        <f t="shared" si="40"/>
        <v>0</v>
      </c>
      <c r="E74" s="54">
        <f t="shared" si="40"/>
        <v>1.0598026820632047</v>
      </c>
      <c r="F74" s="54">
        <f t="shared" si="40"/>
        <v>3.9091937915035103E-3</v>
      </c>
      <c r="G74" s="54">
        <f t="shared" si="40"/>
        <v>4.3307636108691017E-4</v>
      </c>
      <c r="H74" s="54">
        <f t="shared" si="40"/>
        <v>7.9254360412785605E-6</v>
      </c>
      <c r="I74" s="54">
        <f t="shared" si="40"/>
        <v>1.2016793447934503E-3</v>
      </c>
      <c r="J74" s="54">
        <f t="shared" si="40"/>
        <v>3.965657500243518E-5</v>
      </c>
      <c r="K74" s="55">
        <f t="shared" si="40"/>
        <v>11769111.766538538</v>
      </c>
      <c r="L74" s="56">
        <f t="shared" si="40"/>
        <v>10282.245581751797</v>
      </c>
      <c r="M74" s="55">
        <f t="shared" si="40"/>
        <v>81264.035475472963</v>
      </c>
      <c r="N74" s="56">
        <f t="shared" si="40"/>
        <v>74.006486078706629</v>
      </c>
      <c r="O74" s="55">
        <f t="shared" si="40"/>
        <v>5006.3962150544103</v>
      </c>
      <c r="P74" s="56">
        <f t="shared" si="40"/>
        <v>289.06158688730085</v>
      </c>
      <c r="Q74" s="55">
        <f t="shared" si="40"/>
        <v>62.116831773514463</v>
      </c>
      <c r="R74" s="56">
        <f t="shared" si="40"/>
        <v>135310.77686918364</v>
      </c>
      <c r="S74" s="55">
        <f t="shared" si="40"/>
        <v>119821.31247717874</v>
      </c>
      <c r="T74" s="55">
        <f t="shared" si="40"/>
        <v>212.47416036079775</v>
      </c>
      <c r="U74" s="55">
        <f t="shared" si="40"/>
        <v>978.77493140658521</v>
      </c>
      <c r="V74" s="206">
        <f t="shared" si="40"/>
        <v>1.5161</v>
      </c>
      <c r="W74" s="54"/>
    </row>
    <row r="75" spans="1:23">
      <c r="A75" s="53"/>
      <c r="B75" s="54">
        <f>B76</f>
        <v>1.5490999999999999</v>
      </c>
      <c r="C75" s="54">
        <f t="shared" ref="C75:V75" si="41">C76</f>
        <v>1.9099999999999999E-2</v>
      </c>
      <c r="D75" s="54">
        <f t="shared" si="41"/>
        <v>0</v>
      </c>
      <c r="E75" s="54">
        <f t="shared" si="41"/>
        <v>0.73476911295717273</v>
      </c>
      <c r="F75" s="54">
        <f t="shared" si="41"/>
        <v>6.554835312507193E-3</v>
      </c>
      <c r="G75" s="54">
        <f t="shared" si="41"/>
        <v>2.0857441642095089E-4</v>
      </c>
      <c r="H75" s="54">
        <f t="shared" si="41"/>
        <v>5.1734507703686521E-6</v>
      </c>
      <c r="I75" s="54">
        <f t="shared" si="41"/>
        <v>7.4464292864968092E-4</v>
      </c>
      <c r="J75" s="54">
        <f t="shared" si="41"/>
        <v>2.8510050181947034E-5</v>
      </c>
      <c r="K75" s="55">
        <f t="shared" si="41"/>
        <v>8807902.7895793393</v>
      </c>
      <c r="L75" s="56">
        <f t="shared" si="41"/>
        <v>6915.3654591235327</v>
      </c>
      <c r="M75" s="55">
        <f t="shared" si="41"/>
        <v>62686.675264513899</v>
      </c>
      <c r="N75" s="56">
        <f t="shared" si="41"/>
        <v>45.38993238672397</v>
      </c>
      <c r="O75" s="55">
        <f t="shared" si="41"/>
        <v>3326.2989424445541</v>
      </c>
      <c r="P75" s="56">
        <f t="shared" si="41"/>
        <v>200.07923692342041</v>
      </c>
      <c r="Q75" s="55">
        <f t="shared" si="41"/>
        <v>37.436678685700528</v>
      </c>
      <c r="R75" s="56">
        <f t="shared" si="41"/>
        <v>88545.635618162894</v>
      </c>
      <c r="S75" s="55">
        <f t="shared" si="41"/>
        <v>78414.939388306782</v>
      </c>
      <c r="T75" s="55">
        <f t="shared" si="41"/>
        <v>124.93133121968052</v>
      </c>
      <c r="U75" s="55">
        <f t="shared" si="41"/>
        <v>525.28371428097478</v>
      </c>
      <c r="V75" s="206">
        <f t="shared" si="41"/>
        <v>1.5490999999999999</v>
      </c>
      <c r="W75" s="54"/>
    </row>
    <row r="76" spans="1:23">
      <c r="A76" s="53">
        <v>20</v>
      </c>
      <c r="B76" s="54">
        <f t="shared" ref="B76" si="42">B23</f>
        <v>1.5490999999999999</v>
      </c>
      <c r="C76" s="54">
        <f t="shared" ref="C76:V76" si="43">C23</f>
        <v>1.9099999999999999E-2</v>
      </c>
      <c r="D76" s="54">
        <f t="shared" si="43"/>
        <v>0</v>
      </c>
      <c r="E76" s="54">
        <f t="shared" si="43"/>
        <v>0.73476911295717273</v>
      </c>
      <c r="F76" s="54">
        <f t="shared" si="43"/>
        <v>6.554835312507193E-3</v>
      </c>
      <c r="G76" s="54">
        <f t="shared" si="43"/>
        <v>2.0857441642095089E-4</v>
      </c>
      <c r="H76" s="54">
        <f t="shared" si="43"/>
        <v>5.1734507703686521E-6</v>
      </c>
      <c r="I76" s="54">
        <f t="shared" si="43"/>
        <v>7.4464292864968092E-4</v>
      </c>
      <c r="J76" s="54">
        <f t="shared" si="43"/>
        <v>2.8510050181947034E-5</v>
      </c>
      <c r="K76" s="55">
        <f t="shared" si="43"/>
        <v>8807902.7895793393</v>
      </c>
      <c r="L76" s="56">
        <f t="shared" si="43"/>
        <v>6915.3654591235327</v>
      </c>
      <c r="M76" s="55">
        <f t="shared" si="43"/>
        <v>62686.675264513899</v>
      </c>
      <c r="N76" s="56">
        <f t="shared" si="43"/>
        <v>45.38993238672397</v>
      </c>
      <c r="O76" s="55">
        <f t="shared" si="43"/>
        <v>3326.2989424445541</v>
      </c>
      <c r="P76" s="56">
        <f t="shared" si="43"/>
        <v>200.07923692342041</v>
      </c>
      <c r="Q76" s="55">
        <f t="shared" si="43"/>
        <v>37.436678685700528</v>
      </c>
      <c r="R76" s="56">
        <f t="shared" si="43"/>
        <v>88545.635618162894</v>
      </c>
      <c r="S76" s="55">
        <f t="shared" si="43"/>
        <v>78414.939388306782</v>
      </c>
      <c r="T76" s="55">
        <f t="shared" si="43"/>
        <v>124.93133121968052</v>
      </c>
      <c r="U76" s="55">
        <f t="shared" si="43"/>
        <v>525.28371428097478</v>
      </c>
      <c r="V76" s="206">
        <f t="shared" si="43"/>
        <v>1.5490999999999999</v>
      </c>
      <c r="W76" s="54"/>
    </row>
    <row r="77" spans="1:23">
      <c r="A77" s="53"/>
      <c r="B77" s="54">
        <f>B78</f>
        <v>1.5824</v>
      </c>
      <c r="C77" s="54">
        <f t="shared" ref="C77:V77" si="44">C78</f>
        <v>3.8199999999999998E-2</v>
      </c>
      <c r="D77" s="54">
        <f t="shared" si="44"/>
        <v>0</v>
      </c>
      <c r="E77" s="54">
        <f t="shared" si="44"/>
        <v>0.40678069322290245</v>
      </c>
      <c r="F77" s="54">
        <f t="shared" si="44"/>
        <v>9.2245281200654689E-3</v>
      </c>
      <c r="G77" s="54">
        <f t="shared" si="44"/>
        <v>-1.7968455014700114E-5</v>
      </c>
      <c r="H77" s="54">
        <f t="shared" si="44"/>
        <v>2.3964474515413658E-6</v>
      </c>
      <c r="I77" s="54">
        <f t="shared" si="44"/>
        <v>2.8345163599551113E-4</v>
      </c>
      <c r="J77" s="54">
        <f t="shared" si="44"/>
        <v>1.726219331763621E-5</v>
      </c>
      <c r="K77" s="55">
        <f t="shared" si="44"/>
        <v>5819773.7310114065</v>
      </c>
      <c r="L77" s="56">
        <f t="shared" si="44"/>
        <v>3517.8773353804481</v>
      </c>
      <c r="M77" s="55">
        <f t="shared" si="44"/>
        <v>43940.42996072783</v>
      </c>
      <c r="N77" s="56">
        <f t="shared" si="44"/>
        <v>16.51322820663222</v>
      </c>
      <c r="O77" s="55">
        <f t="shared" si="44"/>
        <v>1630.9280582655092</v>
      </c>
      <c r="P77" s="56">
        <f t="shared" si="44"/>
        <v>110.28795650532237</v>
      </c>
      <c r="Q77" s="55">
        <f t="shared" si="44"/>
        <v>12.532160569815417</v>
      </c>
      <c r="R77" s="56">
        <f t="shared" si="44"/>
        <v>41355.356719405361</v>
      </c>
      <c r="S77" s="55">
        <f t="shared" si="44"/>
        <v>36632.144725899387</v>
      </c>
      <c r="T77" s="55">
        <f t="shared" si="44"/>
        <v>36.59265817727993</v>
      </c>
      <c r="U77" s="55">
        <f t="shared" si="44"/>
        <v>67.669849726947177</v>
      </c>
      <c r="V77" s="206">
        <f t="shared" si="44"/>
        <v>1.5824</v>
      </c>
      <c r="W77" s="54"/>
    </row>
    <row r="78" spans="1:23">
      <c r="A78" s="53">
        <v>21</v>
      </c>
      <c r="B78" s="54">
        <f t="shared" ref="B78" si="45">B24</f>
        <v>1.5824</v>
      </c>
      <c r="C78" s="54">
        <f t="shared" ref="C78:V78" si="46">C24</f>
        <v>3.8199999999999998E-2</v>
      </c>
      <c r="D78" s="54">
        <f t="shared" si="46"/>
        <v>0</v>
      </c>
      <c r="E78" s="54">
        <f t="shared" si="46"/>
        <v>0.40678069322290245</v>
      </c>
      <c r="F78" s="54">
        <f t="shared" si="46"/>
        <v>9.2245281200654689E-3</v>
      </c>
      <c r="G78" s="54">
        <f t="shared" si="46"/>
        <v>-1.7968455014700114E-5</v>
      </c>
      <c r="H78" s="54">
        <f t="shared" si="46"/>
        <v>2.3964474515413658E-6</v>
      </c>
      <c r="I78" s="54">
        <f t="shared" si="46"/>
        <v>2.8345163599551113E-4</v>
      </c>
      <c r="J78" s="54">
        <f t="shared" si="46"/>
        <v>1.726219331763621E-5</v>
      </c>
      <c r="K78" s="55">
        <f t="shared" si="46"/>
        <v>5819773.7310114065</v>
      </c>
      <c r="L78" s="56">
        <f t="shared" si="46"/>
        <v>3517.8773353804481</v>
      </c>
      <c r="M78" s="55">
        <f t="shared" si="46"/>
        <v>43940.42996072783</v>
      </c>
      <c r="N78" s="56">
        <f t="shared" si="46"/>
        <v>16.51322820663222</v>
      </c>
      <c r="O78" s="55">
        <f t="shared" si="46"/>
        <v>1630.9280582655092</v>
      </c>
      <c r="P78" s="56">
        <f t="shared" si="46"/>
        <v>110.28795650532237</v>
      </c>
      <c r="Q78" s="55">
        <f t="shared" si="46"/>
        <v>12.532160569815417</v>
      </c>
      <c r="R78" s="56">
        <f t="shared" si="46"/>
        <v>41355.356719405361</v>
      </c>
      <c r="S78" s="55">
        <f t="shared" si="46"/>
        <v>36632.144725899387</v>
      </c>
      <c r="T78" s="55">
        <f t="shared" si="46"/>
        <v>36.59265817727993</v>
      </c>
      <c r="U78" s="55">
        <f t="shared" si="46"/>
        <v>67.669849726947177</v>
      </c>
      <c r="V78" s="206">
        <f t="shared" si="46"/>
        <v>1.5824</v>
      </c>
      <c r="W78" s="54"/>
    </row>
    <row r="79" spans="1:23" ht="15" thickBot="1">
      <c r="A79" s="57"/>
      <c r="B79" s="58">
        <f t="shared" ref="B79" si="47">B25</f>
        <v>1.6002000000000001</v>
      </c>
      <c r="C79" s="58">
        <f t="shared" ref="C79:V79" si="48">C25</f>
        <v>4.8539399999999996E-2</v>
      </c>
      <c r="D79" s="58">
        <f t="shared" si="48"/>
        <v>0</v>
      </c>
      <c r="E79" s="58">
        <f t="shared" si="48"/>
        <v>0.29509561215022628</v>
      </c>
      <c r="F79" s="58">
        <f t="shared" si="48"/>
        <v>1.2043504478451058E-2</v>
      </c>
      <c r="G79" s="58">
        <f t="shared" si="48"/>
        <v>-3.0400539062530059E-4</v>
      </c>
      <c r="H79" s="58">
        <f t="shared" si="48"/>
        <v>1.4034779907340644E-6</v>
      </c>
      <c r="I79" s="58">
        <f t="shared" si="48"/>
        <v>1.7344500204911391E-4</v>
      </c>
      <c r="J79" s="58">
        <f t="shared" si="48"/>
        <v>1.0020235442823492E-5</v>
      </c>
      <c r="K79" s="59">
        <f t="shared" si="48"/>
        <v>4239155.1993809007</v>
      </c>
      <c r="L79" s="60">
        <f t="shared" si="48"/>
        <v>2153.4908412854975</v>
      </c>
      <c r="M79" s="59">
        <f t="shared" si="48"/>
        <v>37255.391554239111</v>
      </c>
      <c r="N79" s="60">
        <f t="shared" si="48"/>
        <v>8.974308125544713</v>
      </c>
      <c r="O79" s="59">
        <f t="shared" si="48"/>
        <v>1070.3243797483506</v>
      </c>
      <c r="P79" s="60">
        <f t="shared" si="48"/>
        <v>68.012002852374351</v>
      </c>
      <c r="Q79" s="59">
        <f t="shared" si="48"/>
        <v>7.260631083037179</v>
      </c>
      <c r="R79" s="60">
        <f t="shared" si="48"/>
        <v>35634.168298738055</v>
      </c>
      <c r="S79" s="59">
        <f t="shared" si="48"/>
        <v>31567.074693985545</v>
      </c>
      <c r="T79" s="59">
        <f t="shared" si="48"/>
        <v>23.199397778334987</v>
      </c>
      <c r="U79" s="59">
        <f t="shared" si="48"/>
        <v>270.83207144966758</v>
      </c>
      <c r="V79" s="207">
        <f t="shared" si="48"/>
        <v>1.6002000000000001</v>
      </c>
      <c r="W79" s="54"/>
    </row>
    <row r="80" spans="1:23">
      <c r="A80" s="53"/>
      <c r="B80" s="54"/>
      <c r="C80" s="54"/>
      <c r="D80" s="54"/>
      <c r="E80" s="54"/>
      <c r="F80" s="54"/>
      <c r="G80" s="54"/>
      <c r="H80" s="54"/>
      <c r="I80" s="54"/>
      <c r="J80" s="54"/>
      <c r="K80" s="55"/>
      <c r="L80" s="56"/>
      <c r="M80" s="55"/>
      <c r="N80" s="56"/>
      <c r="O80" s="55"/>
      <c r="P80" s="56"/>
      <c r="Q80" s="55"/>
    </row>
    <row r="81" spans="1:18">
      <c r="A81" s="54"/>
      <c r="B81" s="54"/>
      <c r="C81" s="54"/>
      <c r="D81" s="54"/>
      <c r="E81" s="54"/>
      <c r="F81" s="54"/>
      <c r="G81" s="54"/>
      <c r="H81" s="54"/>
      <c r="I81" s="54"/>
      <c r="J81" s="54"/>
      <c r="K81" s="55"/>
      <c r="L81" s="56"/>
      <c r="M81" s="55"/>
      <c r="N81" s="56"/>
      <c r="O81" s="55"/>
      <c r="P81" s="56"/>
      <c r="Q81" s="55"/>
    </row>
    <row r="82" spans="1:18">
      <c r="A82" s="54"/>
      <c r="B82" s="54"/>
      <c r="C82" s="54"/>
      <c r="D82" s="54"/>
      <c r="E82" s="54"/>
      <c r="F82" s="54"/>
      <c r="G82" s="54"/>
      <c r="H82" s="54"/>
      <c r="I82" s="54"/>
      <c r="J82" s="54"/>
      <c r="K82" s="55"/>
      <c r="L82" s="56"/>
      <c r="M82" s="55"/>
      <c r="N82" s="56"/>
      <c r="O82" s="55"/>
      <c r="P82" s="56"/>
      <c r="Q82" s="55"/>
    </row>
    <row r="83" spans="1:18">
      <c r="A83" s="54"/>
      <c r="B83" s="54"/>
      <c r="C83" s="54"/>
      <c r="D83" s="54"/>
      <c r="E83" s="54"/>
      <c r="F83" s="54"/>
      <c r="G83" s="54"/>
      <c r="H83" s="54"/>
      <c r="I83" s="54"/>
      <c r="J83" s="54"/>
      <c r="K83" s="55"/>
      <c r="L83" s="56"/>
      <c r="M83" s="55"/>
      <c r="N83" s="56"/>
      <c r="O83" s="55"/>
      <c r="P83" s="56"/>
      <c r="Q83" s="55"/>
    </row>
    <row r="84" spans="1:18">
      <c r="A84" s="54"/>
      <c r="B84" s="54"/>
      <c r="C84" s="54"/>
      <c r="D84" s="54"/>
      <c r="E84" s="54"/>
      <c r="F84" s="54"/>
      <c r="G84" s="54"/>
      <c r="H84" s="54"/>
      <c r="I84" s="54"/>
      <c r="J84" s="54"/>
      <c r="K84" s="55"/>
      <c r="L84" s="56"/>
      <c r="M84" s="55"/>
      <c r="N84" s="56"/>
      <c r="O84" s="55"/>
      <c r="P84" s="56"/>
      <c r="Q84" s="55"/>
      <c r="R84" s="56"/>
    </row>
    <row r="85" spans="1:18">
      <c r="A85" s="54"/>
      <c r="B85" s="54"/>
      <c r="C85" s="54"/>
      <c r="D85" s="54"/>
      <c r="E85" s="54"/>
      <c r="F85" s="54"/>
      <c r="G85" s="54"/>
      <c r="H85" s="54"/>
      <c r="I85" s="54"/>
      <c r="J85" s="54"/>
      <c r="K85" s="55"/>
      <c r="L85" s="56"/>
      <c r="M85" s="55"/>
      <c r="N85" s="56"/>
      <c r="O85" s="55"/>
      <c r="P85" s="56"/>
      <c r="Q85" s="55"/>
      <c r="R85" s="56"/>
    </row>
    <row r="86" spans="1:18">
      <c r="A86" s="54"/>
      <c r="B86" s="54"/>
      <c r="C86" s="54"/>
      <c r="D86" s="54"/>
      <c r="E86" s="54"/>
      <c r="F86" s="54"/>
      <c r="G86" s="54"/>
      <c r="H86" s="54"/>
      <c r="I86" s="54"/>
      <c r="J86" s="54"/>
      <c r="K86" s="55"/>
      <c r="L86" s="56"/>
      <c r="M86" s="55"/>
      <c r="N86" s="56"/>
      <c r="O86" s="55"/>
      <c r="P86" s="56"/>
      <c r="Q86" s="55"/>
      <c r="R86" s="56"/>
    </row>
    <row r="87" spans="1:18">
      <c r="A87" s="54"/>
      <c r="B87" s="54"/>
      <c r="C87" s="54"/>
      <c r="D87" s="54"/>
      <c r="E87" s="54"/>
      <c r="F87" s="54"/>
      <c r="G87" s="54"/>
      <c r="H87" s="54"/>
      <c r="I87" s="54"/>
      <c r="J87" s="54"/>
      <c r="K87" s="55"/>
      <c r="L87" s="56"/>
      <c r="M87" s="55"/>
      <c r="N87" s="56"/>
      <c r="O87" s="55"/>
      <c r="P87" s="56"/>
      <c r="Q87" s="55"/>
      <c r="R87" s="56"/>
    </row>
    <row r="104" spans="2:2">
      <c r="B104" s="54"/>
    </row>
    <row r="105" spans="2:2">
      <c r="B105" s="54"/>
    </row>
    <row r="106" spans="2:2">
      <c r="B106" s="54"/>
    </row>
    <row r="107" spans="2:2">
      <c r="B107" s="54"/>
    </row>
    <row r="108" spans="2:2">
      <c r="B108" s="54"/>
    </row>
    <row r="109" spans="2:2">
      <c r="B109" s="54"/>
    </row>
    <row r="110" spans="2:2">
      <c r="B110" s="54"/>
    </row>
    <row r="111" spans="2:2">
      <c r="B111" s="54"/>
    </row>
    <row r="112" spans="2:2">
      <c r="B112" s="54"/>
    </row>
    <row r="113" spans="2:2">
      <c r="B113" s="54"/>
    </row>
    <row r="114" spans="2:2">
      <c r="B114" s="5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5C87-B88C-4CBF-B1C0-C16D9B99A96F}">
  <dimension ref="A1:CU63"/>
  <sheetViews>
    <sheetView topLeftCell="A99" zoomScaleNormal="100" workbookViewId="0">
      <selection activeCell="AN105" sqref="AN105"/>
    </sheetView>
  </sheetViews>
  <sheetFormatPr defaultRowHeight="14.4"/>
  <cols>
    <col min="1" max="1" width="7" bestFit="1" customWidth="1"/>
    <col min="2" max="2" width="9.5546875" bestFit="1" customWidth="1"/>
    <col min="3" max="3" width="12.44140625" bestFit="1" customWidth="1"/>
    <col min="4" max="5" width="9.21875" bestFit="1" customWidth="1"/>
    <col min="6" max="7" width="10.21875" bestFit="1" customWidth="1"/>
    <col min="8" max="8" width="11.21875" bestFit="1" customWidth="1"/>
    <col min="9" max="9" width="10.77734375" bestFit="1" customWidth="1"/>
    <col min="10" max="10" width="11" bestFit="1" customWidth="1"/>
    <col min="11" max="11" width="14" bestFit="1" customWidth="1"/>
    <col min="12" max="12" width="11" bestFit="1" customWidth="1"/>
    <col min="13" max="13" width="15.109375" bestFit="1" customWidth="1"/>
    <col min="14" max="14" width="11.44140625" bestFit="1" customWidth="1"/>
    <col min="15" max="15" width="14" bestFit="1" customWidth="1"/>
    <col min="16" max="16" width="13" bestFit="1" customWidth="1"/>
    <col min="17" max="17" width="14" bestFit="1" customWidth="1"/>
    <col min="18" max="18" width="11.6640625" bestFit="1" customWidth="1"/>
    <col min="19" max="19" width="12.88671875" bestFit="1" customWidth="1"/>
    <col min="20" max="20" width="14" bestFit="1" customWidth="1"/>
    <col min="21" max="21" width="14" customWidth="1"/>
    <col min="22" max="22" width="14" bestFit="1" customWidth="1"/>
    <col min="23" max="23" width="12.88671875" customWidth="1"/>
    <col min="24" max="24" width="17.5546875" customWidth="1"/>
    <col min="25" max="27" width="12.88671875" customWidth="1"/>
    <col min="28" max="28" width="15.6640625" customWidth="1"/>
    <col min="29" max="32" width="12.88671875" customWidth="1"/>
    <col min="33" max="33" width="7.6640625" customWidth="1"/>
    <col min="34" max="34" width="9.33203125" customWidth="1"/>
    <col min="35" max="35" width="7" customWidth="1"/>
    <col min="36" max="36" width="11.77734375" bestFit="1" customWidth="1"/>
    <col min="37" max="37" width="12.44140625" customWidth="1"/>
    <col min="38" max="38" width="2.5546875" bestFit="1" customWidth="1"/>
    <col min="39" max="39" width="10.44140625" bestFit="1" customWidth="1"/>
    <col min="40" max="40" width="12" bestFit="1" customWidth="1"/>
    <col min="41" max="41" width="11.21875" bestFit="1" customWidth="1"/>
    <col min="42" max="43" width="10.21875" bestFit="1" customWidth="1"/>
    <col min="44" max="44" width="11.21875" bestFit="1" customWidth="1"/>
    <col min="45" max="45" width="10.44140625" bestFit="1" customWidth="1"/>
    <col min="46" max="47" width="11.44140625" bestFit="1" customWidth="1"/>
    <col min="48" max="49" width="10.44140625" bestFit="1" customWidth="1"/>
    <col min="50" max="50" width="11.44140625" customWidth="1"/>
    <col min="51" max="51" width="10.44140625" bestFit="1" customWidth="1"/>
    <col min="52" max="52" width="15.109375" customWidth="1"/>
    <col min="53" max="62" width="17.44140625" customWidth="1"/>
    <col min="63" max="64" width="14.33203125" bestFit="1" customWidth="1"/>
    <col min="65" max="65" width="14" bestFit="1" customWidth="1"/>
    <col min="66" max="66" width="9.33203125" bestFit="1" customWidth="1"/>
    <col min="67" max="67" width="15.109375" bestFit="1" customWidth="1"/>
    <col min="68" max="68" width="9.33203125" bestFit="1" customWidth="1"/>
    <col min="69" max="69" width="15.109375" bestFit="1" customWidth="1"/>
    <col min="70" max="70" width="10" bestFit="1" customWidth="1"/>
    <col min="71" max="71" width="14" bestFit="1" customWidth="1"/>
    <col min="72" max="72" width="10.88671875" bestFit="1" customWidth="1"/>
    <col min="73" max="76" width="14" bestFit="1" customWidth="1"/>
    <col min="77" max="77" width="12.88671875" bestFit="1" customWidth="1"/>
    <col min="78" max="78" width="19.109375" bestFit="1" customWidth="1"/>
    <col min="79" max="79" width="10.5546875" bestFit="1" customWidth="1"/>
    <col min="80" max="80" width="19.5546875" bestFit="1" customWidth="1"/>
    <col min="81" max="81" width="14" bestFit="1" customWidth="1"/>
    <col min="82" max="82" width="19.109375" bestFit="1" customWidth="1"/>
    <col min="83" max="83" width="14" bestFit="1" customWidth="1"/>
    <col min="84" max="84" width="20.33203125" bestFit="1" customWidth="1"/>
    <col min="85" max="85" width="14" bestFit="1" customWidth="1"/>
    <col min="86" max="86" width="20.109375" bestFit="1" customWidth="1"/>
    <col min="87" max="87" width="10.5546875" bestFit="1" customWidth="1"/>
    <col min="88" max="88" width="21.44140625" bestFit="1" customWidth="1"/>
    <col min="89" max="89" width="17.88671875" bestFit="1" customWidth="1"/>
    <col min="90" max="90" width="10.5546875" bestFit="1" customWidth="1"/>
    <col min="91" max="91" width="20.33203125" bestFit="1" customWidth="1"/>
    <col min="92" max="92" width="10.5546875" bestFit="1" customWidth="1"/>
    <col min="93" max="93" width="20.6640625" bestFit="1" customWidth="1"/>
    <col min="94" max="94" width="10.5546875" bestFit="1" customWidth="1"/>
    <col min="95" max="95" width="21.44140625" bestFit="1" customWidth="1"/>
    <col min="96" max="96" width="18.5546875" bestFit="1" customWidth="1"/>
    <col min="97" max="97" width="10.5546875" bestFit="1" customWidth="1"/>
    <col min="98" max="98" width="20.5546875" bestFit="1" customWidth="1"/>
  </cols>
  <sheetData>
    <row r="1" spans="1:99" ht="21">
      <c r="A1" s="118" t="s">
        <v>125</v>
      </c>
      <c r="B1" s="119" t="s">
        <v>238</v>
      </c>
      <c r="C1" s="119" t="s">
        <v>284</v>
      </c>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20"/>
      <c r="AI1" s="110" t="s">
        <v>7</v>
      </c>
      <c r="AJ1" s="111" t="s">
        <v>283</v>
      </c>
      <c r="AK1" s="111" t="s">
        <v>284</v>
      </c>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2"/>
      <c r="BP1" s="308" t="s">
        <v>82</v>
      </c>
      <c r="BQ1" s="309"/>
      <c r="BR1" s="309"/>
      <c r="BS1" s="309"/>
      <c r="BT1" s="309"/>
      <c r="BU1" s="309"/>
      <c r="BV1" s="309"/>
      <c r="BW1" s="309"/>
      <c r="BX1" s="309"/>
      <c r="BY1" s="309"/>
      <c r="BZ1" s="309"/>
      <c r="CA1" s="309"/>
      <c r="CB1" s="309"/>
      <c r="CC1" s="309"/>
      <c r="CD1" s="309"/>
      <c r="CE1" s="309"/>
      <c r="CF1" s="309"/>
      <c r="CG1" s="309"/>
      <c r="CH1" s="309"/>
      <c r="CI1" s="309"/>
      <c r="CJ1" s="309"/>
      <c r="CK1" s="309"/>
      <c r="CL1" s="309"/>
      <c r="CM1" s="309"/>
      <c r="CN1" s="309"/>
      <c r="CO1" s="309"/>
      <c r="CP1" s="309"/>
      <c r="CQ1" s="309"/>
      <c r="CR1" s="309"/>
      <c r="CS1" s="309"/>
      <c r="CT1" s="309"/>
      <c r="CU1" s="310"/>
    </row>
    <row r="2" spans="1:99" ht="21">
      <c r="A2" s="2">
        <v>1</v>
      </c>
      <c r="B2" t="s">
        <v>109</v>
      </c>
      <c r="AF2" s="3"/>
      <c r="AI2" s="2">
        <v>1</v>
      </c>
      <c r="AJ2" t="s">
        <v>271</v>
      </c>
      <c r="BN2" s="3"/>
      <c r="BP2" s="311" t="s">
        <v>140</v>
      </c>
      <c r="BQ2" s="312"/>
      <c r="BR2" s="312"/>
      <c r="BS2" s="312" t="s">
        <v>141</v>
      </c>
      <c r="BT2" s="312"/>
      <c r="BU2" s="312"/>
      <c r="BV2" s="312"/>
      <c r="BW2" s="96"/>
      <c r="BX2" s="96"/>
      <c r="BY2" s="96"/>
      <c r="BZ2" s="96"/>
      <c r="CA2" s="96"/>
      <c r="CB2" s="96"/>
      <c r="CC2" s="96"/>
      <c r="CD2" s="96"/>
      <c r="CE2" s="96"/>
      <c r="CF2" s="96"/>
      <c r="CG2" s="96"/>
      <c r="CH2" s="96"/>
      <c r="CI2" s="96"/>
      <c r="CJ2" s="96"/>
      <c r="CK2" s="96"/>
      <c r="CL2" s="96"/>
      <c r="CM2" s="96"/>
      <c r="CN2" s="96"/>
      <c r="CO2" s="96"/>
      <c r="CP2" s="96"/>
      <c r="CQ2" s="96"/>
      <c r="CR2" s="96"/>
      <c r="CS2" s="96"/>
      <c r="CT2" s="96"/>
      <c r="CU2" s="97"/>
    </row>
    <row r="3" spans="1:99">
      <c r="A3" s="121" t="str">
        <f>IF( ISBLANK(beam_frmt_noFPM!A37), "", beam_frmt_noFPM!A37)</f>
        <v>**num</v>
      </c>
      <c r="B3" s="98" t="str">
        <f>IF( ISBLANK(beam_frmt_noFPM!B37), "", beam_frmt_noFPM!B37)</f>
        <v>Y [span]</v>
      </c>
      <c r="C3" s="98" t="str">
        <f>IF( ISBLANK(beam_frmt_noFPM!C37), "", beam_frmt_noFPM!C37)</f>
        <v>X [swe]</v>
      </c>
      <c r="D3" s="98" t="str">
        <f>IF( ISBLANK(beam_frmt_noFPM!D37), "", beam_frmt_noFPM!D37)</f>
        <v>Z [ben]</v>
      </c>
      <c r="E3" s="98" t="str">
        <f>IF( ISBLANK(beam_frmt_noFPM!E37), "", beam_frmt_noFPM!E37)</f>
        <v>m [kg/m]</v>
      </c>
      <c r="F3" s="98" t="str">
        <f>IF( ISBLANK(beam_frmt_noFPM!F37), "", beam_frmt_noFPM!F37)</f>
        <v>x_cg [m]</v>
      </c>
      <c r="G3" s="98" t="str">
        <f>IF( ISBLANK(beam_frmt_noFPM!G37), "", beam_frmt_noFPM!G37)</f>
        <v>z_cg [m]</v>
      </c>
      <c r="H3" s="98" t="str">
        <f>IF( ISBLANK(beam_frmt_noFPM!H37), "", beam_frmt_noFPM!H37)</f>
        <v>rIxx [kg*m]</v>
      </c>
      <c r="I3" s="98" t="str">
        <f>IF( ISBLANK(beam_frmt_noFPM!I37), "", beam_frmt_noFPM!I37)</f>
        <v>rIzz [kg*m]</v>
      </c>
      <c r="J3" s="98" t="str">
        <f>IF( ISBLANK(beam_frmt_noFPM!J37), "", beam_frmt_noFPM!J37)</f>
        <v>rIxz [kg*m]</v>
      </c>
      <c r="K3" s="98" t="str">
        <f>IF( ISBLANK(beam_frmt_noFPM!K37), "", beam_frmt_noFPM!K37)</f>
        <v>EA [N]</v>
      </c>
      <c r="L3" s="98" t="str">
        <f>IF( ISBLANK(beam_frmt_noFPM!L37), "", beam_frmt_noFPM!L37)</f>
        <v xml:space="preserve"> EAx [Nm]</v>
      </c>
      <c r="M3" s="98" t="str">
        <f>IF( ISBLANK(beam_frmt_noFPM!M37), "", beam_frmt_noFPM!M37)</f>
        <v>EAz [Nm]</v>
      </c>
      <c r="N3" s="98" t="str">
        <f>IF( ISBLANK(beam_frmt_noFPM!N37), "", beam_frmt_noFPM!N37)</f>
        <v>EIxx [Nm^2]</v>
      </c>
      <c r="O3" s="98" t="str">
        <f>IF( ISBLANK(beam_frmt_noFPM!O37), "", beam_frmt_noFPM!O37)</f>
        <v>EIzz [Nm^2]</v>
      </c>
      <c r="P3" s="98" t="str">
        <f>IF( ISBLANK(beam_frmt_noFPM!P37), "", beam_frmt_noFPM!P37)</f>
        <v xml:space="preserve"> EIxz [Nm^2]</v>
      </c>
      <c r="Q3" s="98" t="str">
        <f>IF( ISBLANK(beam_frmt_noFPM!Q37), "", beam_frmt_noFPM!Q37)</f>
        <v>GJ [Nm^2]</v>
      </c>
      <c r="R3" s="98" t="str">
        <f>IF( ISBLANK(beam_frmt_noFPM!R37), "", beam_frmt_noFPM!R37)</f>
        <v>GxA [N]</v>
      </c>
      <c r="S3" s="98" t="str">
        <f>IF( ISBLANK(beam_frmt_noFPM!S37), "", beam_frmt_noFPM!S37)</f>
        <v>GzA [N]</v>
      </c>
      <c r="T3" s="98" t="str">
        <f>IF( ISBLANK(beam_frmt_noFPM!T37), "", beam_frmt_noFPM!T37)</f>
        <v>GxAX [Nm]</v>
      </c>
      <c r="U3" s="98" t="str">
        <f>IF( ISBLANK(beam_frmt_noFPM!U37), "", beam_frmt_noFPM!U37)</f>
        <v xml:space="preserve"> GzAZ [Nm]</v>
      </c>
      <c r="V3" s="98" t="str">
        <f>IF( ISBLANK(beam_frmt_noFPM!V37), "", beam_frmt_noFPM!V37)</f>
        <v>RR [m]</v>
      </c>
      <c r="W3" s="98" t="str">
        <f>IF( ISBLANK(beam_frmt_noFPM!W37), "", beam_frmt_noFPM!W37)</f>
        <v/>
      </c>
      <c r="X3" s="98" t="str">
        <f>IF( ISBLANK(beam_frmt_noFPM!X37), "", beam_frmt_noFPM!X37)</f>
        <v/>
      </c>
      <c r="Y3" s="98" t="str">
        <f>IF( ISBLANK(beam_frmt_noFPM!Y37), "", beam_frmt_noFPM!Y37)</f>
        <v/>
      </c>
      <c r="Z3" s="98" t="str">
        <f>IF( ISBLANK(beam_frmt_noFPM!Z37), "", beam_frmt_noFPM!Z37)</f>
        <v/>
      </c>
      <c r="AA3" s="98" t="str">
        <f>IF( ISBLANK(beam_frmt_noFPM!AA37), "", beam_frmt_noFPM!AA37)</f>
        <v/>
      </c>
      <c r="AB3" s="98" t="str">
        <f>IF( ISBLANK(beam_frmt_noFPM!AB37), "", beam_frmt_noFPM!AB37)</f>
        <v/>
      </c>
      <c r="AC3" s="98" t="str">
        <f>IF( ISBLANK(beam_frmt_noFPM!AC37), "", beam_frmt_noFPM!AC37)</f>
        <v/>
      </c>
      <c r="AD3" s="98" t="str">
        <f>IF( ISBLANK(beam_frmt_noFPM!AD37), "", beam_frmt_noFPM!AD37)</f>
        <v/>
      </c>
      <c r="AE3" s="98" t="str">
        <f>IF( ISBLANK(beam_frmt_noFPM!AE37), "", beam_frmt_noFPM!AE37)</f>
        <v/>
      </c>
      <c r="AF3" s="122" t="str">
        <f>IF( ISBLANK(beam_frmt_noFPM!AF37), "", beam_frmt_noFPM!AF37)</f>
        <v/>
      </c>
      <c r="AI3" s="2" t="s">
        <v>24</v>
      </c>
      <c r="AJ3" t="s">
        <v>272</v>
      </c>
      <c r="AK3" t="s">
        <v>273</v>
      </c>
      <c r="AL3" t="s">
        <v>274</v>
      </c>
      <c r="AM3" t="s">
        <v>67</v>
      </c>
      <c r="AN3" t="s">
        <v>68</v>
      </c>
      <c r="AO3" t="s">
        <v>69</v>
      </c>
      <c r="AP3" t="s">
        <v>275</v>
      </c>
      <c r="AQ3" t="s">
        <v>70</v>
      </c>
      <c r="AR3" t="s">
        <v>71</v>
      </c>
      <c r="AS3" t="s">
        <v>8</v>
      </c>
      <c r="AT3" t="s">
        <v>9</v>
      </c>
      <c r="AU3" t="s">
        <v>76</v>
      </c>
      <c r="AV3" t="s">
        <v>276</v>
      </c>
      <c r="AW3" t="s">
        <v>277</v>
      </c>
      <c r="AX3" t="s">
        <v>278</v>
      </c>
      <c r="AY3" t="s">
        <v>279</v>
      </c>
      <c r="AZ3" t="s">
        <v>72</v>
      </c>
      <c r="BA3" t="s">
        <v>77</v>
      </c>
      <c r="BB3" t="s">
        <v>280</v>
      </c>
      <c r="BC3" t="s">
        <v>281</v>
      </c>
      <c r="BD3" t="s">
        <v>282</v>
      </c>
      <c r="BN3" s="3"/>
      <c r="BP3" s="63" t="s">
        <v>24</v>
      </c>
      <c r="BQ3" s="62" t="s">
        <v>65</v>
      </c>
      <c r="BR3" s="62" t="s">
        <v>66</v>
      </c>
      <c r="BS3" s="62" t="s">
        <v>83</v>
      </c>
      <c r="BT3" s="62" t="s">
        <v>87</v>
      </c>
      <c r="BU3" s="62" t="s">
        <v>27</v>
      </c>
      <c r="BV3" s="62" t="s">
        <v>40</v>
      </c>
      <c r="BW3" s="62" t="s">
        <v>88</v>
      </c>
      <c r="BX3" s="62" t="s">
        <v>89</v>
      </c>
      <c r="BY3" s="62" t="s">
        <v>90</v>
      </c>
      <c r="BZ3" s="62" t="s">
        <v>142</v>
      </c>
      <c r="CA3" s="62" t="s">
        <v>81</v>
      </c>
      <c r="CB3" s="62" t="s">
        <v>143</v>
      </c>
      <c r="CC3" s="62" t="s">
        <v>73</v>
      </c>
      <c r="CD3" s="62" t="s">
        <v>144</v>
      </c>
      <c r="CE3" s="62" t="s">
        <v>74</v>
      </c>
      <c r="CF3" s="62" t="s">
        <v>145</v>
      </c>
      <c r="CG3" s="62" t="s">
        <v>75</v>
      </c>
      <c r="CH3" s="62" t="s">
        <v>146</v>
      </c>
      <c r="CI3" s="62" t="s">
        <v>147</v>
      </c>
      <c r="CJ3" s="62" t="s">
        <v>148</v>
      </c>
      <c r="CK3" s="62" t="s">
        <v>149</v>
      </c>
      <c r="CL3" s="62" t="s">
        <v>78</v>
      </c>
      <c r="CM3" s="62" t="s">
        <v>150</v>
      </c>
      <c r="CN3" s="62" t="s">
        <v>79</v>
      </c>
      <c r="CO3" s="62" t="s">
        <v>151</v>
      </c>
      <c r="CP3" s="62" t="s">
        <v>152</v>
      </c>
      <c r="CQ3" s="62" t="s">
        <v>153</v>
      </c>
      <c r="CR3" s="62" t="s">
        <v>154</v>
      </c>
      <c r="CS3" s="62" t="s">
        <v>155</v>
      </c>
      <c r="CT3" s="62" t="s">
        <v>156</v>
      </c>
      <c r="CU3" s="64" t="s">
        <v>80</v>
      </c>
    </row>
    <row r="4" spans="1:99">
      <c r="A4" s="53">
        <f>IF( ISBLANK(beam_frmt_noFPM!A38), "", beam_frmt_noFPM!A38)</f>
        <v>1</v>
      </c>
      <c r="B4" s="54">
        <f>IF( ISBLANK(beam_frmt_noFPM!B38), "", beam_frmt_noFPM!B38)</f>
        <v>0</v>
      </c>
      <c r="C4" s="54">
        <f>IF( ISBLANK(beam_frmt_noFPM!C38), "", beam_frmt_noFPM!C38)</f>
        <v>0</v>
      </c>
      <c r="D4" s="54">
        <f>IF( ISBLANK(beam_frmt_noFPM!D38), "", beam_frmt_noFPM!D38)</f>
        <v>0</v>
      </c>
      <c r="E4" s="54">
        <f>IF( ISBLANK(beam_frmt_noFPM!E38), "", beam_frmt_noFPM!E38)</f>
        <v>1</v>
      </c>
      <c r="F4" s="54">
        <f>IF( ISBLANK(beam_frmt_noFPM!F38), "", beam_frmt_noFPM!F38)</f>
        <v>0</v>
      </c>
      <c r="G4" s="54">
        <f>IF( ISBLANK(beam_frmt_noFPM!G38), "", beam_frmt_noFPM!G38)</f>
        <v>0</v>
      </c>
      <c r="H4" s="54">
        <f>IF( ISBLANK(beam_frmt_noFPM!H38), "", beam_frmt_noFPM!H38)</f>
        <v>0.1</v>
      </c>
      <c r="I4" s="54">
        <f>IF( ISBLANK(beam_frmt_noFPM!I38), "", beam_frmt_noFPM!I38)</f>
        <v>0.1</v>
      </c>
      <c r="J4" s="54">
        <f>IF( ISBLANK(beam_frmt_noFPM!J38), "", beam_frmt_noFPM!J38)</f>
        <v>0</v>
      </c>
      <c r="K4" s="55">
        <f>IF( ISBLANK(beam_frmt_noFPM!K38), "", beam_frmt_noFPM!K38)</f>
        <v>1000000000000</v>
      </c>
      <c r="L4" s="56">
        <f>IF( ISBLANK(beam_frmt_noFPM!L38), "", beam_frmt_noFPM!L38)</f>
        <v>0</v>
      </c>
      <c r="M4" s="55">
        <f>IF( ISBLANK(beam_frmt_noFPM!M38), "", beam_frmt_noFPM!M38)</f>
        <v>0</v>
      </c>
      <c r="N4" s="56">
        <f>IF( ISBLANK(beam_frmt_noFPM!N38), "", beam_frmt_noFPM!N38)</f>
        <v>10000000000</v>
      </c>
      <c r="O4" s="55">
        <f>IF( ISBLANK(beam_frmt_noFPM!O38), "", beam_frmt_noFPM!O38)</f>
        <v>10000000000</v>
      </c>
      <c r="P4" s="56">
        <f>IF( ISBLANK(beam_frmt_noFPM!P38), "", beam_frmt_noFPM!P38)</f>
        <v>0</v>
      </c>
      <c r="Q4" s="55">
        <f>IF( ISBLANK(beam_frmt_noFPM!Q38), "", beam_frmt_noFPM!Q38)</f>
        <v>1000000000</v>
      </c>
      <c r="R4" s="234">
        <f>IF( ISBLANK(beam_frmt_noFPM!R38), "", beam_frmt_noFPM!R38)</f>
        <v>100000000000000</v>
      </c>
      <c r="S4" s="236">
        <f>IF( ISBLANK(beam_frmt_noFPM!S38), "", beam_frmt_noFPM!S38)</f>
        <v>100000000000000</v>
      </c>
      <c r="T4" s="55">
        <f>IF( ISBLANK(beam_frmt_noFPM!T38), "", beam_frmt_noFPM!T38)</f>
        <v>0</v>
      </c>
      <c r="U4" s="55">
        <f>IF( ISBLANK(beam_frmt_noFPM!U38), "", beam_frmt_noFPM!U38)</f>
        <v>0</v>
      </c>
      <c r="V4" s="206">
        <f>IF( ISBLANK(beam_frmt_noFPM!V38), "", beam_frmt_noFPM!V38)</f>
        <v>0</v>
      </c>
      <c r="W4" s="124"/>
      <c r="X4" s="124"/>
      <c r="Y4" s="124"/>
      <c r="Z4" s="124"/>
      <c r="AA4" s="124"/>
      <c r="AB4" s="124"/>
      <c r="AC4" s="124"/>
      <c r="AD4" s="124"/>
      <c r="AE4" s="124"/>
      <c r="AF4" s="100"/>
      <c r="AI4" s="2">
        <v>1</v>
      </c>
      <c r="AJ4">
        <v>0</v>
      </c>
      <c r="AK4">
        <v>0</v>
      </c>
      <c r="AL4">
        <v>0</v>
      </c>
      <c r="AM4" s="1">
        <v>1</v>
      </c>
      <c r="AN4" s="1">
        <v>0</v>
      </c>
      <c r="AO4" s="1">
        <v>0</v>
      </c>
      <c r="AP4" s="1">
        <v>0.1</v>
      </c>
      <c r="AQ4" s="1">
        <v>0.1</v>
      </c>
      <c r="AR4" s="1">
        <v>0</v>
      </c>
      <c r="AS4" s="1">
        <v>1000000000000</v>
      </c>
      <c r="AT4" s="1">
        <v>0</v>
      </c>
      <c r="AU4" s="1">
        <v>0</v>
      </c>
      <c r="AV4" s="1">
        <v>1000000000000</v>
      </c>
      <c r="AW4" s="1">
        <v>1000000000000</v>
      </c>
      <c r="AX4" s="1">
        <v>0</v>
      </c>
      <c r="AY4" s="1">
        <v>10000000000</v>
      </c>
      <c r="AZ4" s="235">
        <v>1E+16</v>
      </c>
      <c r="BA4" s="237">
        <v>1E+16</v>
      </c>
      <c r="BB4" s="1">
        <v>0</v>
      </c>
      <c r="BC4" s="1">
        <v>0</v>
      </c>
      <c r="BD4" s="1">
        <v>0</v>
      </c>
      <c r="BE4" s="1"/>
      <c r="BF4" s="1"/>
      <c r="BG4" s="1"/>
      <c r="BH4" s="1"/>
      <c r="BI4" s="1"/>
      <c r="BJ4" s="1"/>
      <c r="BK4" s="1"/>
      <c r="BL4" s="1"/>
      <c r="BM4" s="1"/>
      <c r="BN4" s="67"/>
      <c r="BQ4" s="49">
        <f t="shared" ref="BQ4:BS19" si="0">B4 - AJ4</f>
        <v>0</v>
      </c>
      <c r="BR4" s="49">
        <f t="shared" si="0"/>
        <v>0</v>
      </c>
      <c r="BS4" s="49">
        <f>D4 - AL4</f>
        <v>0</v>
      </c>
      <c r="BT4" s="49">
        <f xml:space="preserve"> (E4 - AM4)/AM4 * 100</f>
        <v>0</v>
      </c>
      <c r="BU4" s="49">
        <f xml:space="preserve"> (F4 - AN4)</f>
        <v>0</v>
      </c>
      <c r="BV4" s="49">
        <f xml:space="preserve"> (G4 - AO4)</f>
        <v>0</v>
      </c>
      <c r="BW4" s="49">
        <f xml:space="preserve"> (H4 - AP4)/AP4 * 100</f>
        <v>0</v>
      </c>
      <c r="BX4" s="49">
        <f t="shared" ref="BX4:CM19" si="1" xml:space="preserve"> (I4 - AQ4)/AQ4 * 100</f>
        <v>0</v>
      </c>
      <c r="BY4" s="49" t="e">
        <f t="shared" si="1"/>
        <v>#DIV/0!</v>
      </c>
      <c r="BZ4" s="49">
        <f t="shared" si="1"/>
        <v>0</v>
      </c>
      <c r="CA4" s="49" t="e">
        <f t="shared" si="1"/>
        <v>#DIV/0!</v>
      </c>
      <c r="CB4" s="49" t="e">
        <f t="shared" si="1"/>
        <v>#DIV/0!</v>
      </c>
      <c r="CC4" s="49">
        <f t="shared" si="1"/>
        <v>-99</v>
      </c>
      <c r="CD4" s="49">
        <f t="shared" si="1"/>
        <v>-99</v>
      </c>
      <c r="CE4" s="49" t="e">
        <f t="shared" si="1"/>
        <v>#DIV/0!</v>
      </c>
      <c r="CF4" s="49">
        <f t="shared" si="1"/>
        <v>-90</v>
      </c>
      <c r="CG4" s="49">
        <f t="shared" si="1"/>
        <v>-99</v>
      </c>
      <c r="CH4" s="49">
        <f t="shared" si="1"/>
        <v>-99</v>
      </c>
      <c r="CI4" s="49" t="e">
        <f t="shared" si="1"/>
        <v>#DIV/0!</v>
      </c>
      <c r="CJ4" s="49" t="e">
        <f t="shared" si="1"/>
        <v>#DIV/0!</v>
      </c>
      <c r="CK4" s="49" t="e">
        <f t="shared" si="1"/>
        <v>#DIV/0!</v>
      </c>
      <c r="CL4" s="49" t="e">
        <f t="shared" si="1"/>
        <v>#DIV/0!</v>
      </c>
      <c r="CM4" s="49" t="e">
        <f t="shared" si="1"/>
        <v>#DIV/0!</v>
      </c>
      <c r="CN4" s="49" t="e">
        <f t="shared" ref="CN4:CU19" si="2" xml:space="preserve"> (Y4 - BG4)/BG4 * 100</f>
        <v>#DIV/0!</v>
      </c>
      <c r="CO4" s="49" t="e">
        <f t="shared" si="2"/>
        <v>#DIV/0!</v>
      </c>
      <c r="CP4" s="49" t="e">
        <f t="shared" si="2"/>
        <v>#DIV/0!</v>
      </c>
      <c r="CQ4" s="49" t="e">
        <f t="shared" si="2"/>
        <v>#DIV/0!</v>
      </c>
      <c r="CR4" s="49" t="e">
        <f t="shared" si="2"/>
        <v>#DIV/0!</v>
      </c>
      <c r="CS4" s="49" t="e">
        <f t="shared" si="2"/>
        <v>#DIV/0!</v>
      </c>
      <c r="CT4" s="49" t="e">
        <f t="shared" si="2"/>
        <v>#DIV/0!</v>
      </c>
      <c r="CU4" s="49" t="e">
        <f t="shared" si="2"/>
        <v>#DIV/0!</v>
      </c>
    </row>
    <row r="5" spans="1:99">
      <c r="A5" s="53" t="str">
        <f>IF( ISBLANK(beam_frmt_noFPM!A39), "", beam_frmt_noFPM!A39)</f>
        <v/>
      </c>
      <c r="B5" s="54">
        <f>IF( ISBLANK(beam_frmt_noFPM!B39), "", beam_frmt_noFPM!B39)</f>
        <v>0.14729999999999999</v>
      </c>
      <c r="C5" s="54">
        <f>IF( ISBLANK(beam_frmt_noFPM!C39), "", beam_frmt_noFPM!C39)</f>
        <v>0</v>
      </c>
      <c r="D5" s="54">
        <f>IF( ISBLANK(beam_frmt_noFPM!D39), "", beam_frmt_noFPM!D39)</f>
        <v>0</v>
      </c>
      <c r="E5" s="54">
        <f>IF( ISBLANK(beam_frmt_noFPM!E39), "", beam_frmt_noFPM!E39)</f>
        <v>1</v>
      </c>
      <c r="F5" s="54">
        <f>IF( ISBLANK(beam_frmt_noFPM!F39), "", beam_frmt_noFPM!F39)</f>
        <v>0</v>
      </c>
      <c r="G5" s="54">
        <f>IF( ISBLANK(beam_frmt_noFPM!G39), "", beam_frmt_noFPM!G39)</f>
        <v>0</v>
      </c>
      <c r="H5" s="54">
        <f>IF( ISBLANK(beam_frmt_noFPM!H39), "", beam_frmt_noFPM!H39)</f>
        <v>0.1</v>
      </c>
      <c r="I5" s="54">
        <f>IF( ISBLANK(beam_frmt_noFPM!I39), "", beam_frmt_noFPM!I39)</f>
        <v>0.1</v>
      </c>
      <c r="J5" s="54">
        <f>IF( ISBLANK(beam_frmt_noFPM!J39), "", beam_frmt_noFPM!J39)</f>
        <v>0</v>
      </c>
      <c r="K5" s="55">
        <f>IF( ISBLANK(beam_frmt_noFPM!K39), "", beam_frmt_noFPM!K39)</f>
        <v>1000000000000</v>
      </c>
      <c r="L5" s="56">
        <f>IF( ISBLANK(beam_frmt_noFPM!L39), "", beam_frmt_noFPM!L39)</f>
        <v>0</v>
      </c>
      <c r="M5" s="55">
        <f>IF( ISBLANK(beam_frmt_noFPM!M39), "", beam_frmt_noFPM!M39)</f>
        <v>0</v>
      </c>
      <c r="N5" s="56">
        <f>IF( ISBLANK(beam_frmt_noFPM!N39), "", beam_frmt_noFPM!N39)</f>
        <v>10000000000</v>
      </c>
      <c r="O5" s="55">
        <f>IF( ISBLANK(beam_frmt_noFPM!O39), "", beam_frmt_noFPM!O39)</f>
        <v>10000000000</v>
      </c>
      <c r="P5" s="56">
        <f>IF( ISBLANK(beam_frmt_noFPM!P39), "", beam_frmt_noFPM!P39)</f>
        <v>0</v>
      </c>
      <c r="Q5" s="55">
        <f>IF( ISBLANK(beam_frmt_noFPM!Q39), "", beam_frmt_noFPM!Q39)</f>
        <v>1000000000</v>
      </c>
      <c r="R5" s="234">
        <f>IF( ISBLANK(beam_frmt_noFPM!R39), "", beam_frmt_noFPM!R39)</f>
        <v>100000000000000</v>
      </c>
      <c r="S5" s="236">
        <f>IF( ISBLANK(beam_frmt_noFPM!S39), "", beam_frmt_noFPM!S39)</f>
        <v>100000000000000</v>
      </c>
      <c r="T5" s="55">
        <f>IF( ISBLANK(beam_frmt_noFPM!T39), "", beam_frmt_noFPM!T39)</f>
        <v>0</v>
      </c>
      <c r="U5" s="55">
        <f>IF( ISBLANK(beam_frmt_noFPM!U39), "", beam_frmt_noFPM!U39)</f>
        <v>0</v>
      </c>
      <c r="V5" s="206">
        <f>IF( ISBLANK(beam_frmt_noFPM!V39), "", beam_frmt_noFPM!V39)</f>
        <v>0.14729999999999999</v>
      </c>
      <c r="W5" s="124"/>
      <c r="X5" s="124"/>
      <c r="Y5" s="124"/>
      <c r="Z5" s="124"/>
      <c r="AA5" s="124"/>
      <c r="AB5" s="124"/>
      <c r="AC5" s="124"/>
      <c r="AD5" s="124"/>
      <c r="AE5" s="124"/>
      <c r="AF5" s="100"/>
      <c r="AI5" s="2"/>
      <c r="AJ5">
        <v>0.14729999999999999</v>
      </c>
      <c r="AK5">
        <v>0</v>
      </c>
      <c r="AL5">
        <v>0</v>
      </c>
      <c r="AM5" s="1">
        <v>1</v>
      </c>
      <c r="AN5">
        <v>0</v>
      </c>
      <c r="AO5" s="1">
        <v>0</v>
      </c>
      <c r="AP5" s="1">
        <v>0.1</v>
      </c>
      <c r="AQ5" s="1">
        <v>0.1</v>
      </c>
      <c r="AR5" s="1">
        <v>0</v>
      </c>
      <c r="AS5" s="1">
        <v>1000000000000</v>
      </c>
      <c r="AT5" s="1">
        <v>0</v>
      </c>
      <c r="AU5" s="1">
        <v>0</v>
      </c>
      <c r="AV5" s="1">
        <v>1000000000000</v>
      </c>
      <c r="AW5" s="1">
        <v>1000000000000</v>
      </c>
      <c r="AX5" s="1">
        <v>0</v>
      </c>
      <c r="AY5" s="1">
        <v>10000000000</v>
      </c>
      <c r="AZ5" s="235">
        <v>1E+16</v>
      </c>
      <c r="BA5" s="237">
        <v>1E+16</v>
      </c>
      <c r="BB5" s="1">
        <v>0</v>
      </c>
      <c r="BC5" s="1">
        <v>0</v>
      </c>
      <c r="BD5" s="1">
        <v>0.14729999999999999</v>
      </c>
      <c r="BE5" s="1"/>
      <c r="BF5" s="1"/>
      <c r="BG5" s="1"/>
      <c r="BH5" s="1"/>
      <c r="BI5" s="1"/>
      <c r="BJ5" s="1"/>
      <c r="BK5" s="1"/>
      <c r="BL5" s="1"/>
      <c r="BM5" s="1"/>
      <c r="BN5" s="67"/>
      <c r="BQ5" s="49">
        <f t="shared" si="0"/>
        <v>0</v>
      </c>
      <c r="BR5" s="49">
        <f t="shared" si="0"/>
        <v>0</v>
      </c>
      <c r="BS5" s="49">
        <f t="shared" si="0"/>
        <v>0</v>
      </c>
      <c r="BT5" s="49">
        <f t="shared" ref="BT5:BT43" si="3" xml:space="preserve"> (E5 - AM5)/AM5 * 100</f>
        <v>0</v>
      </c>
      <c r="BU5" s="49">
        <f t="shared" ref="BU5:BV43" si="4" xml:space="preserve"> (F5 - AN5)</f>
        <v>0</v>
      </c>
      <c r="BV5" s="49">
        <f t="shared" si="4"/>
        <v>0</v>
      </c>
      <c r="BW5" s="49">
        <f t="shared" ref="BW5:CL34" si="5" xml:space="preserve"> (H5 - AP5)/AP5 * 100</f>
        <v>0</v>
      </c>
      <c r="BX5" s="49">
        <f t="shared" si="1"/>
        <v>0</v>
      </c>
      <c r="BY5" s="49" t="e">
        <f t="shared" si="1"/>
        <v>#DIV/0!</v>
      </c>
      <c r="BZ5" s="49">
        <f t="shared" si="1"/>
        <v>0</v>
      </c>
      <c r="CA5" s="49" t="e">
        <f t="shared" si="1"/>
        <v>#DIV/0!</v>
      </c>
      <c r="CB5" s="49" t="e">
        <f t="shared" si="1"/>
        <v>#DIV/0!</v>
      </c>
      <c r="CC5" s="49">
        <f t="shared" si="1"/>
        <v>-99</v>
      </c>
      <c r="CD5" s="49">
        <f t="shared" si="1"/>
        <v>-99</v>
      </c>
      <c r="CE5" s="49" t="e">
        <f t="shared" si="1"/>
        <v>#DIV/0!</v>
      </c>
      <c r="CF5" s="49">
        <f t="shared" si="1"/>
        <v>-90</v>
      </c>
      <c r="CG5" s="49">
        <f t="shared" si="1"/>
        <v>-99</v>
      </c>
      <c r="CH5" s="49">
        <f t="shared" si="1"/>
        <v>-99</v>
      </c>
      <c r="CI5" s="49" t="e">
        <f t="shared" si="1"/>
        <v>#DIV/0!</v>
      </c>
      <c r="CJ5" s="49" t="e">
        <f t="shared" si="1"/>
        <v>#DIV/0!</v>
      </c>
      <c r="CK5" s="49">
        <f t="shared" si="1"/>
        <v>0</v>
      </c>
      <c r="CL5" s="49" t="e">
        <f t="shared" si="1"/>
        <v>#DIV/0!</v>
      </c>
      <c r="CM5" s="49" t="e">
        <f t="shared" si="1"/>
        <v>#DIV/0!</v>
      </c>
      <c r="CN5" s="49" t="e">
        <f t="shared" si="2"/>
        <v>#DIV/0!</v>
      </c>
      <c r="CO5" s="49" t="e">
        <f t="shared" si="2"/>
        <v>#DIV/0!</v>
      </c>
      <c r="CP5" s="49" t="e">
        <f t="shared" si="2"/>
        <v>#DIV/0!</v>
      </c>
      <c r="CQ5" s="49" t="e">
        <f t="shared" si="2"/>
        <v>#DIV/0!</v>
      </c>
      <c r="CR5" s="49" t="e">
        <f t="shared" si="2"/>
        <v>#DIV/0!</v>
      </c>
      <c r="CS5" s="49" t="e">
        <f t="shared" si="2"/>
        <v>#DIV/0!</v>
      </c>
      <c r="CT5" s="49" t="e">
        <f t="shared" si="2"/>
        <v>#DIV/0!</v>
      </c>
      <c r="CU5" s="49" t="e">
        <f t="shared" si="2"/>
        <v>#DIV/0!</v>
      </c>
    </row>
    <row r="6" spans="1:99">
      <c r="A6" s="53">
        <f>IF( ISBLANK(beam_frmt_noFPM!A40), "", beam_frmt_noFPM!A40)</f>
        <v>2</v>
      </c>
      <c r="B6" s="54">
        <f>IF( ISBLANK(beam_frmt_noFPM!B40), "", beam_frmt_noFPM!B40)</f>
        <v>0.14729999999999999</v>
      </c>
      <c r="C6" s="54">
        <f>IF( ISBLANK(beam_frmt_noFPM!C40), "", beam_frmt_noFPM!C40)</f>
        <v>0</v>
      </c>
      <c r="D6" s="54">
        <f>IF( ISBLANK(beam_frmt_noFPM!D40), "", beam_frmt_noFPM!D40)</f>
        <v>0</v>
      </c>
      <c r="E6" s="54">
        <f>IF( ISBLANK(beam_frmt_noFPM!E40), "", beam_frmt_noFPM!E40)</f>
        <v>2.0546376733824165</v>
      </c>
      <c r="F6" s="54">
        <f>IF( ISBLANK(beam_frmt_noFPM!F40), "", beam_frmt_noFPM!F40)</f>
        <v>3.2252276214677786E-2</v>
      </c>
      <c r="G6" s="54">
        <f>IF( ISBLANK(beam_frmt_noFPM!G40), "", beam_frmt_noFPM!G40)</f>
        <v>3.9547670556938658E-3</v>
      </c>
      <c r="H6" s="54">
        <f>IF( ISBLANK(beam_frmt_noFPM!H40), "", beam_frmt_noFPM!H40)</f>
        <v>9.3981097192989951E-5</v>
      </c>
      <c r="I6" s="54">
        <f>IF( ISBLANK(beam_frmt_noFPM!I40), "", beam_frmt_noFPM!I40)</f>
        <v>6.1375230444865236E-3</v>
      </c>
      <c r="J6" s="54">
        <f>IF( ISBLANK(beam_frmt_noFPM!J40), "", beam_frmt_noFPM!J40)</f>
        <v>-5.410590537688007E-4</v>
      </c>
      <c r="K6" s="55">
        <f>IF( ISBLANK(beam_frmt_noFPM!K40), "", beam_frmt_noFPM!K40)</f>
        <v>57826880.998899996</v>
      </c>
      <c r="L6" s="56">
        <f>IF( ISBLANK(beam_frmt_noFPM!L40), "", beam_frmt_noFPM!L40)</f>
        <v>-2937.6055547441197</v>
      </c>
      <c r="M6" s="55">
        <f>IF( ISBLANK(beam_frmt_noFPM!M40), "", beam_frmt_noFPM!M40)</f>
        <v>-1468.8027773720598</v>
      </c>
      <c r="N6" s="56">
        <f>IF( ISBLANK(beam_frmt_noFPM!N40), "", beam_frmt_noFPM!N40)</f>
        <v>1198.2741064762447</v>
      </c>
      <c r="O6" s="55">
        <f>IF( ISBLANK(beam_frmt_noFPM!O40), "", beam_frmt_noFPM!O40)</f>
        <v>19920.473850878807</v>
      </c>
      <c r="P6" s="56">
        <f>IF( ISBLANK(beam_frmt_noFPM!P40), "", beam_frmt_noFPM!P40)</f>
        <v>-2656.3595999346385</v>
      </c>
      <c r="Q6" s="55">
        <f>IF( ISBLANK(beam_frmt_noFPM!Q40), "", beam_frmt_noFPM!Q40)</f>
        <v>786.32921610758365</v>
      </c>
      <c r="R6" s="234">
        <f>IF( ISBLANK(beam_frmt_noFPM!R40), "", beam_frmt_noFPM!R40)</f>
        <v>1815665.6178841188</v>
      </c>
      <c r="S6" s="236">
        <f>IF( ISBLANK(beam_frmt_noFPM!S40), "", beam_frmt_noFPM!S40)</f>
        <v>1614990.3360170943</v>
      </c>
      <c r="T6" s="55">
        <f>IF( ISBLANK(beam_frmt_noFPM!T40), "", beam_frmt_noFPM!T40)</f>
        <v>648.67647253792052</v>
      </c>
      <c r="U6" s="55">
        <f>IF( ISBLANK(beam_frmt_noFPM!U40), "", beam_frmt_noFPM!U40)</f>
        <v>5218.6369212505742</v>
      </c>
      <c r="V6" s="206">
        <f>IF( ISBLANK(beam_frmt_noFPM!V40), "", beam_frmt_noFPM!V40)</f>
        <v>0.14729999999999999</v>
      </c>
      <c r="W6" s="124"/>
      <c r="X6" s="124"/>
      <c r="Y6" s="124"/>
      <c r="Z6" s="124"/>
      <c r="AA6" s="124"/>
      <c r="AB6" s="124"/>
      <c r="AC6" s="124"/>
      <c r="AD6" s="124"/>
      <c r="AE6" s="124"/>
      <c r="AF6" s="100"/>
      <c r="AI6" s="2">
        <v>2</v>
      </c>
      <c r="AJ6">
        <v>0.14729999999999999</v>
      </c>
      <c r="AK6">
        <v>0</v>
      </c>
      <c r="AL6">
        <v>0</v>
      </c>
      <c r="AM6" s="1">
        <v>2.0546380000000002</v>
      </c>
      <c r="AN6" s="1">
        <v>3.2071000000000002E-2</v>
      </c>
      <c r="AO6" s="1">
        <v>-5.228E-3</v>
      </c>
      <c r="AP6" s="1">
        <v>1.8654199999999999E-4</v>
      </c>
      <c r="AQ6" s="1">
        <v>6.0449620000000001E-3</v>
      </c>
      <c r="AR6" s="1">
        <v>9.6799500000000003E-4</v>
      </c>
      <c r="AS6" s="1">
        <v>57826880</v>
      </c>
      <c r="AT6" s="1">
        <v>-2703.009</v>
      </c>
      <c r="AU6" s="1">
        <v>-1865.6510000000001</v>
      </c>
      <c r="AV6" s="1">
        <v>1236.883</v>
      </c>
      <c r="AW6" s="1">
        <v>19881.87</v>
      </c>
      <c r="AX6" s="1">
        <v>2788.895</v>
      </c>
      <c r="AY6" s="1">
        <v>808.29100000000005</v>
      </c>
      <c r="AZ6" s="235">
        <v>1819921</v>
      </c>
      <c r="BA6" s="237">
        <v>1610735</v>
      </c>
      <c r="BB6" s="1">
        <v>-313.51220000000001</v>
      </c>
      <c r="BC6" s="1">
        <v>6770.7340000000004</v>
      </c>
      <c r="BD6" s="1">
        <v>0.14729999999999999</v>
      </c>
      <c r="BE6" s="1"/>
      <c r="BF6" s="1"/>
      <c r="BG6" s="1"/>
      <c r="BH6" s="1"/>
      <c r="BI6" s="1"/>
      <c r="BJ6" s="1"/>
      <c r="BK6" s="1"/>
      <c r="BL6" s="1"/>
      <c r="BM6" s="1"/>
      <c r="BN6" s="67"/>
      <c r="BQ6" s="49">
        <f t="shared" si="0"/>
        <v>0</v>
      </c>
      <c r="BR6" s="49">
        <f t="shared" si="0"/>
        <v>0</v>
      </c>
      <c r="BS6" s="49">
        <f t="shared" si="0"/>
        <v>0</v>
      </c>
      <c r="BT6" s="49">
        <f t="shared" si="3"/>
        <v>-1.5896599967771809E-5</v>
      </c>
      <c r="BU6" s="49">
        <f t="shared" si="4"/>
        <v>1.8127621467778354E-4</v>
      </c>
      <c r="BV6" s="49">
        <f t="shared" si="4"/>
        <v>9.1827670556938659E-3</v>
      </c>
      <c r="BW6" s="49">
        <f t="shared" si="5"/>
        <v>-49.619336560672686</v>
      </c>
      <c r="BX6" s="49">
        <f t="shared" si="1"/>
        <v>1.5312096996891547</v>
      </c>
      <c r="BY6" s="49">
        <f t="shared" si="1"/>
        <v>-155.89481906092496</v>
      </c>
      <c r="BZ6" s="49">
        <f t="shared" si="1"/>
        <v>1.7273973561787704E-6</v>
      </c>
      <c r="CA6" s="49">
        <f t="shared" si="1"/>
        <v>8.6790889243846276</v>
      </c>
      <c r="CB6" s="49">
        <f t="shared" si="1"/>
        <v>-21.271300078521666</v>
      </c>
      <c r="CC6" s="49">
        <f t="shared" si="1"/>
        <v>-3.1214669070361012</v>
      </c>
      <c r="CD6" s="49">
        <f t="shared" si="1"/>
        <v>0.19416609644267799</v>
      </c>
      <c r="CE6" s="49">
        <f t="shared" si="1"/>
        <v>-195.24774507231854</v>
      </c>
      <c r="CF6" s="49">
        <f t="shared" si="1"/>
        <v>-2.7170640143730918</v>
      </c>
      <c r="CG6" s="49">
        <f t="shared" si="1"/>
        <v>-0.23382235360112838</v>
      </c>
      <c r="CH6" s="49">
        <f t="shared" si="1"/>
        <v>0.26418597827043677</v>
      </c>
      <c r="CI6" s="49">
        <f t="shared" si="1"/>
        <v>-306.90629345139376</v>
      </c>
      <c r="CJ6" s="49">
        <f t="shared" si="1"/>
        <v>-22.923616239382998</v>
      </c>
      <c r="CK6" s="49">
        <f t="shared" si="1"/>
        <v>0</v>
      </c>
      <c r="CL6" s="49" t="e">
        <f t="shared" si="1"/>
        <v>#DIV/0!</v>
      </c>
      <c r="CM6" s="49" t="e">
        <f t="shared" si="1"/>
        <v>#DIV/0!</v>
      </c>
      <c r="CN6" s="49" t="e">
        <f t="shared" si="2"/>
        <v>#DIV/0!</v>
      </c>
      <c r="CO6" s="49" t="e">
        <f t="shared" si="2"/>
        <v>#DIV/0!</v>
      </c>
      <c r="CP6" s="49" t="e">
        <f t="shared" si="2"/>
        <v>#DIV/0!</v>
      </c>
      <c r="CQ6" s="49" t="e">
        <f t="shared" si="2"/>
        <v>#DIV/0!</v>
      </c>
      <c r="CR6" s="49" t="e">
        <f t="shared" si="2"/>
        <v>#DIV/0!</v>
      </c>
      <c r="CS6" s="49" t="e">
        <f t="shared" si="2"/>
        <v>#DIV/0!</v>
      </c>
      <c r="CT6" s="49" t="e">
        <f t="shared" si="2"/>
        <v>#DIV/0!</v>
      </c>
      <c r="CU6" s="49" t="e">
        <f t="shared" si="2"/>
        <v>#DIV/0!</v>
      </c>
    </row>
    <row r="7" spans="1:99">
      <c r="A7" s="53" t="str">
        <f>IF( ISBLANK(beam_frmt_noFPM!A41), "", beam_frmt_noFPM!A41)</f>
        <v/>
      </c>
      <c r="B7" s="54">
        <f>IF( ISBLANK(beam_frmt_noFPM!B41), "", beam_frmt_noFPM!B41)</f>
        <v>0.247</v>
      </c>
      <c r="C7" s="54">
        <f>IF( ISBLANK(beam_frmt_noFPM!C41), "", beam_frmt_noFPM!C41)</f>
        <v>0</v>
      </c>
      <c r="D7" s="54">
        <f>IF( ISBLANK(beam_frmt_noFPM!D41), "", beam_frmt_noFPM!D41)</f>
        <v>0</v>
      </c>
      <c r="E7" s="54">
        <f>IF( ISBLANK(beam_frmt_noFPM!E41), "", beam_frmt_noFPM!E41)</f>
        <v>1.7475040575079039</v>
      </c>
      <c r="F7" s="54">
        <f>IF( ISBLANK(beam_frmt_noFPM!F41), "", beam_frmt_noFPM!F41)</f>
        <v>1.3771050446651601E-2</v>
      </c>
      <c r="G7" s="54">
        <f>IF( ISBLANK(beam_frmt_noFPM!G41), "", beam_frmt_noFPM!G41)</f>
        <v>2.0958298598977559E-3</v>
      </c>
      <c r="H7" s="54">
        <f>IF( ISBLANK(beam_frmt_noFPM!H41), "", beam_frmt_noFPM!H41)</f>
        <v>7.2424067327693696E-5</v>
      </c>
      <c r="I7" s="54">
        <f>IF( ISBLANK(beam_frmt_noFPM!I41), "", beam_frmt_noFPM!I41)</f>
        <v>3.5719288440171294E-3</v>
      </c>
      <c r="J7" s="54">
        <f>IF( ISBLANK(beam_frmt_noFPM!J41), "", beam_frmt_noFPM!J41)</f>
        <v>-3.5259324979273229E-4</v>
      </c>
      <c r="K7" s="55">
        <f>IF( ISBLANK(beam_frmt_noFPM!K41), "", beam_frmt_noFPM!K41)</f>
        <v>43730617.470660552</v>
      </c>
      <c r="L7" s="56">
        <f>IF( ISBLANK(beam_frmt_noFPM!L41), "", beam_frmt_noFPM!L41)</f>
        <v>17525.754600037177</v>
      </c>
      <c r="M7" s="55">
        <f>IF( ISBLANK(beam_frmt_noFPM!M41), "", beam_frmt_noFPM!M41)</f>
        <v>-25089.585501490095</v>
      </c>
      <c r="N7" s="56">
        <f>IF( ISBLANK(beam_frmt_noFPM!N41), "", beam_frmt_noFPM!N41)</f>
        <v>1160.3360939908714</v>
      </c>
      <c r="O7" s="55">
        <f>IF( ISBLANK(beam_frmt_noFPM!O41), "", beam_frmt_noFPM!O41)</f>
        <v>15946.985960252125</v>
      </c>
      <c r="P7" s="56">
        <f>IF( ISBLANK(beam_frmt_noFPM!P41), "", beam_frmt_noFPM!P41)</f>
        <v>-2082.2898729734493</v>
      </c>
      <c r="Q7" s="55">
        <f>IF( ISBLANK(beam_frmt_noFPM!Q41), "", beam_frmt_noFPM!Q41)</f>
        <v>724.83720109701426</v>
      </c>
      <c r="R7" s="234">
        <f>IF( ISBLANK(beam_frmt_noFPM!R41), "", beam_frmt_noFPM!R41)</f>
        <v>1571103.6072682207</v>
      </c>
      <c r="S7" s="236">
        <f>IF( ISBLANK(beam_frmt_noFPM!S41), "", beam_frmt_noFPM!S41)</f>
        <v>1396791.9954196201</v>
      </c>
      <c r="T7" s="55">
        <f>IF( ISBLANK(beam_frmt_noFPM!T41), "", beam_frmt_noFPM!T41)</f>
        <v>1350.3031055751044</v>
      </c>
      <c r="U7" s="55">
        <f>IF( ISBLANK(beam_frmt_noFPM!U41), "", beam_frmt_noFPM!U41)</f>
        <v>2256.507332164299</v>
      </c>
      <c r="V7" s="206">
        <f>IF( ISBLANK(beam_frmt_noFPM!V41), "", beam_frmt_noFPM!V41)</f>
        <v>0.247</v>
      </c>
      <c r="W7" s="124"/>
      <c r="X7" s="124"/>
      <c r="Y7" s="124"/>
      <c r="Z7" s="124"/>
      <c r="AA7" s="124"/>
      <c r="AB7" s="124"/>
      <c r="AC7" s="124"/>
      <c r="AD7" s="124"/>
      <c r="AE7" s="124"/>
      <c r="AF7" s="100"/>
      <c r="AI7" s="2"/>
      <c r="AJ7">
        <v>0.247</v>
      </c>
      <c r="AK7">
        <v>0</v>
      </c>
      <c r="AL7">
        <v>0</v>
      </c>
      <c r="AM7" s="1">
        <v>1.7476830000000001</v>
      </c>
      <c r="AN7">
        <v>1.3828E-2</v>
      </c>
      <c r="AO7" s="1">
        <v>-1.738E-3</v>
      </c>
      <c r="AP7" s="1">
        <v>8.9917260000000004E-5</v>
      </c>
      <c r="AQ7" s="1">
        <v>2.947856E-3</v>
      </c>
      <c r="AR7" s="1">
        <v>4.2069889999999998E-4</v>
      </c>
      <c r="AS7" s="1">
        <v>43738840</v>
      </c>
      <c r="AT7" s="1">
        <v>28312.06</v>
      </c>
      <c r="AU7" s="1">
        <v>-29489.99</v>
      </c>
      <c r="AV7" s="1">
        <v>1160.405</v>
      </c>
      <c r="AW7" s="1">
        <v>15936.02</v>
      </c>
      <c r="AX7" s="1">
        <v>2078.7979999999998</v>
      </c>
      <c r="AY7" s="1">
        <v>729.80179999999996</v>
      </c>
      <c r="AZ7" s="235">
        <v>1574576</v>
      </c>
      <c r="BA7" s="237">
        <v>1393590</v>
      </c>
      <c r="BB7" s="1">
        <v>1287.829</v>
      </c>
      <c r="BC7" s="1">
        <v>2694.7660000000001</v>
      </c>
      <c r="BD7" s="1">
        <v>0.247</v>
      </c>
      <c r="BE7" s="1"/>
      <c r="BF7" s="1"/>
      <c r="BG7" s="1"/>
      <c r="BH7" s="1"/>
      <c r="BI7" s="1"/>
      <c r="BJ7" s="1"/>
      <c r="BK7" s="1"/>
      <c r="BL7" s="1"/>
      <c r="BM7" s="1"/>
      <c r="BN7" s="67"/>
      <c r="BQ7" s="49">
        <f t="shared" si="0"/>
        <v>0</v>
      </c>
      <c r="BR7" s="49">
        <f t="shared" si="0"/>
        <v>0</v>
      </c>
      <c r="BS7" s="49">
        <f t="shared" si="0"/>
        <v>0</v>
      </c>
      <c r="BT7" s="49">
        <f t="shared" si="3"/>
        <v>-1.0238841488768665E-2</v>
      </c>
      <c r="BU7" s="49">
        <f t="shared" si="4"/>
        <v>-5.6949553348398935E-5</v>
      </c>
      <c r="BV7" s="49">
        <f t="shared" si="4"/>
        <v>3.8338298598977558E-3</v>
      </c>
      <c r="BW7" s="49">
        <f t="shared" si="5"/>
        <v>-19.454766162031969</v>
      </c>
      <c r="BX7" s="49">
        <f t="shared" si="1"/>
        <v>21.170397876189657</v>
      </c>
      <c r="BY7" s="49">
        <f t="shared" si="1"/>
        <v>-183.81130775305863</v>
      </c>
      <c r="BZ7" s="49">
        <f t="shared" si="1"/>
        <v>-1.8799148170019181E-2</v>
      </c>
      <c r="CA7" s="49">
        <f t="shared" si="1"/>
        <v>-38.097917989587557</v>
      </c>
      <c r="CB7" s="49">
        <f t="shared" si="1"/>
        <v>-14.921688676428529</v>
      </c>
      <c r="CC7" s="49">
        <f t="shared" si="1"/>
        <v>-5.9380999847956761E-3</v>
      </c>
      <c r="CD7" s="49">
        <f t="shared" si="1"/>
        <v>6.8812415221141815E-2</v>
      </c>
      <c r="CE7" s="49">
        <f t="shared" si="1"/>
        <v>-200.16797557884166</v>
      </c>
      <c r="CF7" s="49">
        <f t="shared" si="1"/>
        <v>-0.68026673858377706</v>
      </c>
      <c r="CG7" s="49">
        <f t="shared" si="1"/>
        <v>-0.22052874753452709</v>
      </c>
      <c r="CH7" s="49">
        <f t="shared" si="1"/>
        <v>0.22976595839666408</v>
      </c>
      <c r="CI7" s="49">
        <f t="shared" si="1"/>
        <v>4.851118089055646</v>
      </c>
      <c r="CJ7" s="49">
        <f t="shared" si="1"/>
        <v>-16.263329277410399</v>
      </c>
      <c r="CK7" s="49">
        <f t="shared" si="1"/>
        <v>0</v>
      </c>
      <c r="CL7" s="49" t="e">
        <f t="shared" si="1"/>
        <v>#DIV/0!</v>
      </c>
      <c r="CM7" s="49" t="e">
        <f t="shared" si="1"/>
        <v>#DIV/0!</v>
      </c>
      <c r="CN7" s="49" t="e">
        <f t="shared" si="2"/>
        <v>#DIV/0!</v>
      </c>
      <c r="CO7" s="49" t="e">
        <f t="shared" si="2"/>
        <v>#DIV/0!</v>
      </c>
      <c r="CP7" s="49" t="e">
        <f t="shared" si="2"/>
        <v>#DIV/0!</v>
      </c>
      <c r="CQ7" s="49" t="e">
        <f t="shared" si="2"/>
        <v>#DIV/0!</v>
      </c>
      <c r="CR7" s="49" t="e">
        <f t="shared" si="2"/>
        <v>#DIV/0!</v>
      </c>
      <c r="CS7" s="49" t="e">
        <f t="shared" si="2"/>
        <v>#DIV/0!</v>
      </c>
      <c r="CT7" s="49" t="e">
        <f t="shared" si="2"/>
        <v>#DIV/0!</v>
      </c>
      <c r="CU7" s="49" t="e">
        <f t="shared" si="2"/>
        <v>#DIV/0!</v>
      </c>
    </row>
    <row r="8" spans="1:99">
      <c r="A8" s="53">
        <f>IF( ISBLANK(beam_frmt_noFPM!A42), "", beam_frmt_noFPM!A42)</f>
        <v>3</v>
      </c>
      <c r="B8" s="54">
        <f>IF( ISBLANK(beam_frmt_noFPM!B42), "", beam_frmt_noFPM!B42)</f>
        <v>0.247</v>
      </c>
      <c r="C8" s="54">
        <f>IF( ISBLANK(beam_frmt_noFPM!C42), "", beam_frmt_noFPM!C42)</f>
        <v>0</v>
      </c>
      <c r="D8" s="54">
        <f>IF( ISBLANK(beam_frmt_noFPM!D42), "", beam_frmt_noFPM!D42)</f>
        <v>0</v>
      </c>
      <c r="E8" s="54">
        <f>IF( ISBLANK(beam_frmt_noFPM!E42), "", beam_frmt_noFPM!E42)</f>
        <v>1.7475040575079039</v>
      </c>
      <c r="F8" s="54">
        <f>IF( ISBLANK(beam_frmt_noFPM!F42), "", beam_frmt_noFPM!F42)</f>
        <v>1.3771050446651601E-2</v>
      </c>
      <c r="G8" s="54">
        <f>IF( ISBLANK(beam_frmt_noFPM!G42), "", beam_frmt_noFPM!G42)</f>
        <v>2.0958298598977559E-3</v>
      </c>
      <c r="H8" s="54">
        <f>IF( ISBLANK(beam_frmt_noFPM!H42), "", beam_frmt_noFPM!H42)</f>
        <v>7.2424067327693696E-5</v>
      </c>
      <c r="I8" s="54">
        <f>IF( ISBLANK(beam_frmt_noFPM!I42), "", beam_frmt_noFPM!I42)</f>
        <v>3.5719288440171294E-3</v>
      </c>
      <c r="J8" s="54">
        <f>IF( ISBLANK(beam_frmt_noFPM!J42), "", beam_frmt_noFPM!J42)</f>
        <v>-3.5259324979273229E-4</v>
      </c>
      <c r="K8" s="55">
        <f>IF( ISBLANK(beam_frmt_noFPM!K42), "", beam_frmt_noFPM!K42)</f>
        <v>43730617.470660552</v>
      </c>
      <c r="L8" s="56">
        <f>IF( ISBLANK(beam_frmt_noFPM!L42), "", beam_frmt_noFPM!L42)</f>
        <v>17525.754600037177</v>
      </c>
      <c r="M8" s="55">
        <f>IF( ISBLANK(beam_frmt_noFPM!M42), "", beam_frmt_noFPM!M42)</f>
        <v>-25089.585501490095</v>
      </c>
      <c r="N8" s="56">
        <f>IF( ISBLANK(beam_frmt_noFPM!N42), "", beam_frmt_noFPM!N42)</f>
        <v>1160.3360939908714</v>
      </c>
      <c r="O8" s="55">
        <f>IF( ISBLANK(beam_frmt_noFPM!O42), "", beam_frmt_noFPM!O42)</f>
        <v>15946.985960252125</v>
      </c>
      <c r="P8" s="56">
        <f>IF( ISBLANK(beam_frmt_noFPM!P42), "", beam_frmt_noFPM!P42)</f>
        <v>-2082.2898729734493</v>
      </c>
      <c r="Q8" s="55">
        <f>IF( ISBLANK(beam_frmt_noFPM!Q42), "", beam_frmt_noFPM!Q42)</f>
        <v>724.83720109701426</v>
      </c>
      <c r="R8" s="234">
        <f>IF( ISBLANK(beam_frmt_noFPM!R42), "", beam_frmt_noFPM!R42)</f>
        <v>1571103.6072682207</v>
      </c>
      <c r="S8" s="236">
        <f>IF( ISBLANK(beam_frmt_noFPM!S42), "", beam_frmt_noFPM!S42)</f>
        <v>1396791.9954196201</v>
      </c>
      <c r="T8" s="55">
        <f>IF( ISBLANK(beam_frmt_noFPM!T42), "", beam_frmt_noFPM!T42)</f>
        <v>1350.3031055751044</v>
      </c>
      <c r="U8" s="55">
        <f>IF( ISBLANK(beam_frmt_noFPM!U42), "", beam_frmt_noFPM!U42)</f>
        <v>2256.507332164299</v>
      </c>
      <c r="V8" s="206">
        <f>IF( ISBLANK(beam_frmt_noFPM!V42), "", beam_frmt_noFPM!V42)</f>
        <v>0.247</v>
      </c>
      <c r="W8" s="124"/>
      <c r="X8" s="124"/>
      <c r="Y8" s="124"/>
      <c r="Z8" s="124"/>
      <c r="AA8" s="124"/>
      <c r="AB8" s="124"/>
      <c r="AC8" s="124"/>
      <c r="AD8" s="124"/>
      <c r="AE8" s="124"/>
      <c r="AF8" s="100"/>
      <c r="AI8" s="2">
        <v>3</v>
      </c>
      <c r="AJ8">
        <v>0.247</v>
      </c>
      <c r="AK8">
        <v>0</v>
      </c>
      <c r="AL8">
        <v>0</v>
      </c>
      <c r="AM8" s="1">
        <v>1.7476830000000001</v>
      </c>
      <c r="AN8" s="1">
        <v>1.3828E-2</v>
      </c>
      <c r="AO8" s="1">
        <v>-1.738E-3</v>
      </c>
      <c r="AP8" s="1">
        <v>8.9917260000000004E-5</v>
      </c>
      <c r="AQ8" s="1">
        <v>2.947856E-3</v>
      </c>
      <c r="AR8" s="1">
        <v>4.2069889999999998E-4</v>
      </c>
      <c r="AS8" s="1">
        <v>43738840</v>
      </c>
      <c r="AT8" s="1">
        <v>28312.06</v>
      </c>
      <c r="AU8" s="1">
        <v>-29489.99</v>
      </c>
      <c r="AV8" s="1">
        <v>1160.405</v>
      </c>
      <c r="AW8" s="1">
        <v>15936.02</v>
      </c>
      <c r="AX8" s="1">
        <v>2078.7979999999998</v>
      </c>
      <c r="AY8" s="1">
        <v>729.80179999999996</v>
      </c>
      <c r="AZ8" s="235">
        <v>1574576</v>
      </c>
      <c r="BA8" s="237">
        <v>1393590</v>
      </c>
      <c r="BB8" s="1">
        <v>1287.829</v>
      </c>
      <c r="BC8" s="1">
        <v>2694.7660000000001</v>
      </c>
      <c r="BD8" s="1">
        <v>0.247</v>
      </c>
      <c r="BE8" s="1"/>
      <c r="BF8" s="1"/>
      <c r="BG8" s="1"/>
      <c r="BH8" s="1"/>
      <c r="BI8" s="1"/>
      <c r="BJ8" s="1"/>
      <c r="BK8" s="1"/>
      <c r="BL8" s="1"/>
      <c r="BM8" s="1"/>
      <c r="BN8" s="67"/>
      <c r="BQ8" s="49">
        <f t="shared" si="0"/>
        <v>0</v>
      </c>
      <c r="BR8" s="49">
        <f t="shared" si="0"/>
        <v>0</v>
      </c>
      <c r="BS8" s="49">
        <f t="shared" si="0"/>
        <v>0</v>
      </c>
      <c r="BT8" s="49">
        <f t="shared" si="3"/>
        <v>-1.0238841488768665E-2</v>
      </c>
      <c r="BU8" s="49">
        <f t="shared" si="4"/>
        <v>-5.6949553348398935E-5</v>
      </c>
      <c r="BV8" s="49">
        <f t="shared" si="4"/>
        <v>3.8338298598977558E-3</v>
      </c>
      <c r="BW8" s="49">
        <f t="shared" si="5"/>
        <v>-19.454766162031969</v>
      </c>
      <c r="BX8" s="49">
        <f t="shared" si="1"/>
        <v>21.170397876189657</v>
      </c>
      <c r="BY8" s="49">
        <f t="shared" si="1"/>
        <v>-183.81130775305863</v>
      </c>
      <c r="BZ8" s="49">
        <f t="shared" si="1"/>
        <v>-1.8799148170019181E-2</v>
      </c>
      <c r="CA8" s="49">
        <f t="shared" si="1"/>
        <v>-38.097917989587557</v>
      </c>
      <c r="CB8" s="49">
        <f t="shared" si="1"/>
        <v>-14.921688676428529</v>
      </c>
      <c r="CC8" s="49">
        <f t="shared" si="1"/>
        <v>-5.9380999847956761E-3</v>
      </c>
      <c r="CD8" s="49">
        <f t="shared" si="1"/>
        <v>6.8812415221141815E-2</v>
      </c>
      <c r="CE8" s="49">
        <f t="shared" si="1"/>
        <v>-200.16797557884166</v>
      </c>
      <c r="CF8" s="49">
        <f t="shared" si="1"/>
        <v>-0.68026673858377706</v>
      </c>
      <c r="CG8" s="49">
        <f t="shared" si="1"/>
        <v>-0.22052874753452709</v>
      </c>
      <c r="CH8" s="49">
        <f t="shared" si="1"/>
        <v>0.22976595839666408</v>
      </c>
      <c r="CI8" s="49">
        <f t="shared" si="1"/>
        <v>4.851118089055646</v>
      </c>
      <c r="CJ8" s="49">
        <f t="shared" si="1"/>
        <v>-16.263329277410399</v>
      </c>
      <c r="CK8" s="49">
        <f t="shared" si="1"/>
        <v>0</v>
      </c>
      <c r="CL8" s="49" t="e">
        <f t="shared" si="1"/>
        <v>#DIV/0!</v>
      </c>
      <c r="CM8" s="49" t="e">
        <f t="shared" si="1"/>
        <v>#DIV/0!</v>
      </c>
      <c r="CN8" s="49" t="e">
        <f t="shared" si="2"/>
        <v>#DIV/0!</v>
      </c>
      <c r="CO8" s="49" t="e">
        <f t="shared" si="2"/>
        <v>#DIV/0!</v>
      </c>
      <c r="CP8" s="49" t="e">
        <f t="shared" si="2"/>
        <v>#DIV/0!</v>
      </c>
      <c r="CQ8" s="49" t="e">
        <f t="shared" si="2"/>
        <v>#DIV/0!</v>
      </c>
      <c r="CR8" s="49" t="e">
        <f t="shared" si="2"/>
        <v>#DIV/0!</v>
      </c>
      <c r="CS8" s="49" t="e">
        <f t="shared" si="2"/>
        <v>#DIV/0!</v>
      </c>
      <c r="CT8" s="49" t="e">
        <f t="shared" si="2"/>
        <v>#DIV/0!</v>
      </c>
      <c r="CU8" s="49" t="e">
        <f t="shared" si="2"/>
        <v>#DIV/0!</v>
      </c>
    </row>
    <row r="9" spans="1:99">
      <c r="A9" s="53" t="str">
        <f>IF( ISBLANK(beam_frmt_noFPM!A43), "", beam_frmt_noFPM!A43)</f>
        <v/>
      </c>
      <c r="B9" s="54">
        <f>IF( ISBLANK(beam_frmt_noFPM!B43), "", beam_frmt_noFPM!B43)</f>
        <v>0.33189999999999997</v>
      </c>
      <c r="C9" s="54">
        <f>IF( ISBLANK(beam_frmt_noFPM!C43), "", beam_frmt_noFPM!C43)</f>
        <v>0</v>
      </c>
      <c r="D9" s="54">
        <f>IF( ISBLANK(beam_frmt_noFPM!D43), "", beam_frmt_noFPM!D43)</f>
        <v>0</v>
      </c>
      <c r="E9" s="54">
        <f>IF( ISBLANK(beam_frmt_noFPM!E43), "", beam_frmt_noFPM!E43)</f>
        <v>1.4272803902216358</v>
      </c>
      <c r="F9" s="54">
        <f>IF( ISBLANK(beam_frmt_noFPM!F43), "", beam_frmt_noFPM!F43)</f>
        <v>-1.3639540604117521E-3</v>
      </c>
      <c r="G9" s="54">
        <f>IF( ISBLANK(beam_frmt_noFPM!G43), "", beam_frmt_noFPM!G43)</f>
        <v>1.215442594403445E-3</v>
      </c>
      <c r="H9" s="54">
        <f>IF( ISBLANK(beam_frmt_noFPM!H43), "", beam_frmt_noFPM!H43)</f>
        <v>6.0832524169738474E-5</v>
      </c>
      <c r="I9" s="54">
        <f>IF( ISBLANK(beam_frmt_noFPM!I43), "", beam_frmt_noFPM!I43)</f>
        <v>1.4777761575157891E-3</v>
      </c>
      <c r="J9" s="54">
        <f>IF( ISBLANK(beam_frmt_noFPM!J43), "", beam_frmt_noFPM!J43)</f>
        <v>-2.0623863762135255E-4</v>
      </c>
      <c r="K9" s="55">
        <f>IF( ISBLANK(beam_frmt_noFPM!K43), "", beam_frmt_noFPM!K43)</f>
        <v>28314802.52746474</v>
      </c>
      <c r="L9" s="56">
        <f>IF( ISBLANK(beam_frmt_noFPM!L43), "", beam_frmt_noFPM!L43)</f>
        <v>53636.742435705033</v>
      </c>
      <c r="M9" s="55">
        <f>IF( ISBLANK(beam_frmt_noFPM!M43), "", beam_frmt_noFPM!M43)</f>
        <v>-36743.74636070172</v>
      </c>
      <c r="N9" s="56">
        <f>IF( ISBLANK(beam_frmt_noFPM!N43), "", beam_frmt_noFPM!N43)</f>
        <v>1285.9457838065698</v>
      </c>
      <c r="O9" s="55">
        <f>IF( ISBLANK(beam_frmt_noFPM!O43), "", beam_frmt_noFPM!O43)</f>
        <v>11528.52796317464</v>
      </c>
      <c r="P9" s="56">
        <f>IF( ISBLANK(beam_frmt_noFPM!P43), "", beam_frmt_noFPM!P43)</f>
        <v>-1520.0870881093442</v>
      </c>
      <c r="Q9" s="55">
        <f>IF( ISBLANK(beam_frmt_noFPM!Q43), "", beam_frmt_noFPM!Q43)</f>
        <v>619.04317568008526</v>
      </c>
      <c r="R9" s="234">
        <f>IF( ISBLANK(beam_frmt_noFPM!R43), "", beam_frmt_noFPM!R43)</f>
        <v>1189461.226680404</v>
      </c>
      <c r="S9" s="236">
        <f>IF( ISBLANK(beam_frmt_noFPM!S43), "", beam_frmt_noFPM!S43)</f>
        <v>1056638.1017075372</v>
      </c>
      <c r="T9" s="55">
        <f>IF( ISBLANK(beam_frmt_noFPM!T43), "", beam_frmt_noFPM!T43)</f>
        <v>3237.4953927887304</v>
      </c>
      <c r="U9" s="55">
        <f>IF( ISBLANK(beam_frmt_noFPM!U43), "", beam_frmt_noFPM!U43)</f>
        <v>797.18325228445258</v>
      </c>
      <c r="V9" s="206">
        <f>IF( ISBLANK(beam_frmt_noFPM!V43), "", beam_frmt_noFPM!V43)</f>
        <v>0.33189999999999997</v>
      </c>
      <c r="W9" s="124"/>
      <c r="X9" s="124"/>
      <c r="Y9" s="124"/>
      <c r="Z9" s="124"/>
      <c r="AA9" s="124"/>
      <c r="AB9" s="124"/>
      <c r="AC9" s="124"/>
      <c r="AD9" s="124"/>
      <c r="AE9" s="124"/>
      <c r="AF9" s="100"/>
      <c r="AI9" s="2"/>
      <c r="AJ9">
        <v>0.33189999999999997</v>
      </c>
      <c r="AK9">
        <v>0</v>
      </c>
      <c r="AL9">
        <v>0</v>
      </c>
      <c r="AM9" s="1">
        <v>1.427343</v>
      </c>
      <c r="AN9">
        <v>-1.0269999999999999E-3</v>
      </c>
      <c r="AO9" s="1">
        <v>1.5100000000000001E-3</v>
      </c>
      <c r="AP9" s="1">
        <v>4.9196870000000001E-5</v>
      </c>
      <c r="AQ9" s="1">
        <v>1.489396E-3</v>
      </c>
      <c r="AR9" s="1">
        <v>1.5755359999999999E-4</v>
      </c>
      <c r="AS9" s="1">
        <v>28318240</v>
      </c>
      <c r="AT9" s="1">
        <v>58063.38</v>
      </c>
      <c r="AU9" s="1">
        <v>-29839.47</v>
      </c>
      <c r="AV9" s="1">
        <v>1227.181</v>
      </c>
      <c r="AW9" s="1">
        <v>11587.29</v>
      </c>
      <c r="AX9" s="1">
        <v>1216.9839999999999</v>
      </c>
      <c r="AY9" s="1">
        <v>630.00480000000005</v>
      </c>
      <c r="AZ9" s="235">
        <v>1191675</v>
      </c>
      <c r="BA9" s="237">
        <v>1054701</v>
      </c>
      <c r="BB9" s="1">
        <v>3588.9380000000001</v>
      </c>
      <c r="BC9" s="1">
        <v>1439.913</v>
      </c>
      <c r="BD9" s="1">
        <v>0.33189999999999997</v>
      </c>
      <c r="BE9" s="1"/>
      <c r="BF9" s="1"/>
      <c r="BG9" s="1"/>
      <c r="BH9" s="1"/>
      <c r="BI9" s="1"/>
      <c r="BJ9" s="1"/>
      <c r="BK9" s="1"/>
      <c r="BL9" s="1"/>
      <c r="BM9" s="1"/>
      <c r="BN9" s="67"/>
      <c r="BQ9" s="49">
        <f t="shared" si="0"/>
        <v>0</v>
      </c>
      <c r="BR9" s="49">
        <f t="shared" si="0"/>
        <v>0</v>
      </c>
      <c r="BS9" s="49">
        <f t="shared" si="0"/>
        <v>0</v>
      </c>
      <c r="BT9" s="49">
        <f t="shared" si="3"/>
        <v>-4.3864563993555291E-3</v>
      </c>
      <c r="BU9" s="49">
        <f t="shared" si="4"/>
        <v>-3.3695406041175219E-4</v>
      </c>
      <c r="BV9" s="49">
        <f t="shared" si="4"/>
        <v>-2.9455740559655502E-4</v>
      </c>
      <c r="BW9" s="49">
        <f t="shared" si="5"/>
        <v>23.651208236903024</v>
      </c>
      <c r="BX9" s="49">
        <f t="shared" si="1"/>
        <v>-0.78017145770573482</v>
      </c>
      <c r="BY9" s="49">
        <f t="shared" si="1"/>
        <v>-230.9006189775115</v>
      </c>
      <c r="BZ9" s="49">
        <f t="shared" si="1"/>
        <v>-1.2138722375613815E-2</v>
      </c>
      <c r="CA9" s="49">
        <f t="shared" si="1"/>
        <v>-7.6238027553596845</v>
      </c>
      <c r="CB9" s="49">
        <f t="shared" si="1"/>
        <v>23.138066328596715</v>
      </c>
      <c r="CC9" s="49">
        <f t="shared" si="1"/>
        <v>4.7885995469755294</v>
      </c>
      <c r="CD9" s="49">
        <f t="shared" si="1"/>
        <v>-0.50712493452188612</v>
      </c>
      <c r="CE9" s="49">
        <f t="shared" si="1"/>
        <v>-224.90608653107554</v>
      </c>
      <c r="CF9" s="49">
        <f t="shared" si="1"/>
        <v>-1.7399271116529256</v>
      </c>
      <c r="CG9" s="49">
        <f t="shared" si="1"/>
        <v>-0.18576988856827231</v>
      </c>
      <c r="CH9" s="49">
        <f t="shared" si="1"/>
        <v>0.18366358878366407</v>
      </c>
      <c r="CI9" s="49">
        <f t="shared" si="1"/>
        <v>-9.7923844661364896</v>
      </c>
      <c r="CJ9" s="49">
        <f t="shared" si="1"/>
        <v>-44.636707059075611</v>
      </c>
      <c r="CK9" s="49">
        <f t="shared" si="1"/>
        <v>0</v>
      </c>
      <c r="CL9" s="49" t="e">
        <f t="shared" si="1"/>
        <v>#DIV/0!</v>
      </c>
      <c r="CM9" s="49" t="e">
        <f t="shared" si="1"/>
        <v>#DIV/0!</v>
      </c>
      <c r="CN9" s="49" t="e">
        <f t="shared" si="2"/>
        <v>#DIV/0!</v>
      </c>
      <c r="CO9" s="49" t="e">
        <f t="shared" si="2"/>
        <v>#DIV/0!</v>
      </c>
      <c r="CP9" s="49" t="e">
        <f t="shared" si="2"/>
        <v>#DIV/0!</v>
      </c>
      <c r="CQ9" s="49" t="e">
        <f t="shared" si="2"/>
        <v>#DIV/0!</v>
      </c>
      <c r="CR9" s="49" t="e">
        <f t="shared" si="2"/>
        <v>#DIV/0!</v>
      </c>
      <c r="CS9" s="49" t="e">
        <f t="shared" si="2"/>
        <v>#DIV/0!</v>
      </c>
      <c r="CT9" s="49" t="e">
        <f t="shared" si="2"/>
        <v>#DIV/0!</v>
      </c>
      <c r="CU9" s="49" t="e">
        <f t="shared" si="2"/>
        <v>#DIV/0!</v>
      </c>
    </row>
    <row r="10" spans="1:99">
      <c r="A10" s="53">
        <f>IF( ISBLANK(beam_frmt_noFPM!A44), "", beam_frmt_noFPM!A44)</f>
        <v>4</v>
      </c>
      <c r="B10" s="54">
        <f>IF( ISBLANK(beam_frmt_noFPM!B44), "", beam_frmt_noFPM!B44)</f>
        <v>0.33189999999999997</v>
      </c>
      <c r="C10" s="54">
        <f>IF( ISBLANK(beam_frmt_noFPM!C44), "", beam_frmt_noFPM!C44)</f>
        <v>0</v>
      </c>
      <c r="D10" s="54">
        <f>IF( ISBLANK(beam_frmt_noFPM!D44), "", beam_frmt_noFPM!D44)</f>
        <v>0</v>
      </c>
      <c r="E10" s="54">
        <f>IF( ISBLANK(beam_frmt_noFPM!E44), "", beam_frmt_noFPM!E44)</f>
        <v>1.4272803902216358</v>
      </c>
      <c r="F10" s="54">
        <f>IF( ISBLANK(beam_frmt_noFPM!F44), "", beam_frmt_noFPM!F44)</f>
        <v>-1.3639540604117521E-3</v>
      </c>
      <c r="G10" s="54">
        <f>IF( ISBLANK(beam_frmt_noFPM!G44), "", beam_frmt_noFPM!G44)</f>
        <v>1.215442594403445E-3</v>
      </c>
      <c r="H10" s="54">
        <f>IF( ISBLANK(beam_frmt_noFPM!H44), "", beam_frmt_noFPM!H44)</f>
        <v>6.0832524169738474E-5</v>
      </c>
      <c r="I10" s="54">
        <f>IF( ISBLANK(beam_frmt_noFPM!I44), "", beam_frmt_noFPM!I44)</f>
        <v>1.4777761575157891E-3</v>
      </c>
      <c r="J10" s="54">
        <f>IF( ISBLANK(beam_frmt_noFPM!J44), "", beam_frmt_noFPM!J44)</f>
        <v>-2.0623863762135255E-4</v>
      </c>
      <c r="K10" s="55">
        <f>IF( ISBLANK(beam_frmt_noFPM!K44), "", beam_frmt_noFPM!K44)</f>
        <v>28314802.52746474</v>
      </c>
      <c r="L10" s="56">
        <f>IF( ISBLANK(beam_frmt_noFPM!L44), "", beam_frmt_noFPM!L44)</f>
        <v>53636.742435705033</v>
      </c>
      <c r="M10" s="55">
        <f>IF( ISBLANK(beam_frmt_noFPM!M44), "", beam_frmt_noFPM!M44)</f>
        <v>-36743.74636070172</v>
      </c>
      <c r="N10" s="56">
        <f>IF( ISBLANK(beam_frmt_noFPM!N44), "", beam_frmt_noFPM!N44)</f>
        <v>1285.9457838065698</v>
      </c>
      <c r="O10" s="55">
        <f>IF( ISBLANK(beam_frmt_noFPM!O44), "", beam_frmt_noFPM!O44)</f>
        <v>11528.52796317464</v>
      </c>
      <c r="P10" s="56">
        <f>IF( ISBLANK(beam_frmt_noFPM!P44), "", beam_frmt_noFPM!P44)</f>
        <v>-1520.0870881093442</v>
      </c>
      <c r="Q10" s="55">
        <f>IF( ISBLANK(beam_frmt_noFPM!Q44), "", beam_frmt_noFPM!Q44)</f>
        <v>619.04317568008526</v>
      </c>
      <c r="R10" s="234">
        <f>IF( ISBLANK(beam_frmt_noFPM!R44), "", beam_frmt_noFPM!R44)</f>
        <v>1189461.226680404</v>
      </c>
      <c r="S10" s="236">
        <f>IF( ISBLANK(beam_frmt_noFPM!S44), "", beam_frmt_noFPM!S44)</f>
        <v>1056638.1017075372</v>
      </c>
      <c r="T10" s="55">
        <f>IF( ISBLANK(beam_frmt_noFPM!T44), "", beam_frmt_noFPM!T44)</f>
        <v>3237.4953927887304</v>
      </c>
      <c r="U10" s="55">
        <f>IF( ISBLANK(beam_frmt_noFPM!U44), "", beam_frmt_noFPM!U44)</f>
        <v>797.18325228445258</v>
      </c>
      <c r="V10" s="206">
        <f>IF( ISBLANK(beam_frmt_noFPM!V44), "", beam_frmt_noFPM!V44)</f>
        <v>0.33189999999999997</v>
      </c>
      <c r="W10" s="124"/>
      <c r="X10" s="124"/>
      <c r="Y10" s="124"/>
      <c r="Z10" s="124"/>
      <c r="AA10" s="124"/>
      <c r="AB10" s="124"/>
      <c r="AC10" s="124"/>
      <c r="AD10" s="124"/>
      <c r="AE10" s="124"/>
      <c r="AF10" s="100"/>
      <c r="AI10" s="2">
        <v>4</v>
      </c>
      <c r="AJ10">
        <v>0.33189999999999997</v>
      </c>
      <c r="AK10">
        <v>0</v>
      </c>
      <c r="AL10">
        <v>0</v>
      </c>
      <c r="AM10" s="1">
        <v>1.427343</v>
      </c>
      <c r="AN10" s="1">
        <v>-1.0269999999999999E-3</v>
      </c>
      <c r="AO10" s="1">
        <v>1.5100000000000001E-3</v>
      </c>
      <c r="AP10" s="1">
        <v>4.9196870000000001E-5</v>
      </c>
      <c r="AQ10" s="1">
        <v>1.489396E-3</v>
      </c>
      <c r="AR10" s="1">
        <v>1.5755359999999999E-4</v>
      </c>
      <c r="AS10" s="1">
        <v>28318240</v>
      </c>
      <c r="AT10" s="1">
        <v>58063.38</v>
      </c>
      <c r="AU10" s="1">
        <v>-29839.47</v>
      </c>
      <c r="AV10" s="1">
        <v>1227.181</v>
      </c>
      <c r="AW10" s="1">
        <v>11587.29</v>
      </c>
      <c r="AX10" s="1">
        <v>1216.9839999999999</v>
      </c>
      <c r="AY10" s="1">
        <v>630.00480000000005</v>
      </c>
      <c r="AZ10" s="235">
        <v>1191675</v>
      </c>
      <c r="BA10" s="237">
        <v>1054701</v>
      </c>
      <c r="BB10" s="1">
        <v>3588.9380000000001</v>
      </c>
      <c r="BC10" s="1">
        <v>1439.913</v>
      </c>
      <c r="BD10" s="1">
        <v>0.33189999999999997</v>
      </c>
      <c r="BE10" s="1"/>
      <c r="BF10" s="1"/>
      <c r="BG10" s="1"/>
      <c r="BH10" s="1"/>
      <c r="BI10" s="1"/>
      <c r="BJ10" s="1"/>
      <c r="BK10" s="1"/>
      <c r="BL10" s="1"/>
      <c r="BM10" s="1"/>
      <c r="BN10" s="67"/>
      <c r="BQ10" s="49">
        <f t="shared" si="0"/>
        <v>0</v>
      </c>
      <c r="BR10" s="49">
        <f t="shared" si="0"/>
        <v>0</v>
      </c>
      <c r="BS10" s="49">
        <f t="shared" si="0"/>
        <v>0</v>
      </c>
      <c r="BT10" s="49">
        <f t="shared" si="3"/>
        <v>-4.3864563993555291E-3</v>
      </c>
      <c r="BU10" s="49">
        <f t="shared" si="4"/>
        <v>-3.3695406041175219E-4</v>
      </c>
      <c r="BV10" s="49">
        <f t="shared" si="4"/>
        <v>-2.9455740559655502E-4</v>
      </c>
      <c r="BW10" s="49">
        <f t="shared" si="5"/>
        <v>23.651208236903024</v>
      </c>
      <c r="BX10" s="49">
        <f t="shared" si="1"/>
        <v>-0.78017145770573482</v>
      </c>
      <c r="BY10" s="49">
        <f t="shared" si="1"/>
        <v>-230.9006189775115</v>
      </c>
      <c r="BZ10" s="49">
        <f t="shared" si="1"/>
        <v>-1.2138722375613815E-2</v>
      </c>
      <c r="CA10" s="49">
        <f t="shared" si="1"/>
        <v>-7.6238027553596845</v>
      </c>
      <c r="CB10" s="49">
        <f t="shared" si="1"/>
        <v>23.138066328596715</v>
      </c>
      <c r="CC10" s="49">
        <f t="shared" si="1"/>
        <v>4.7885995469755294</v>
      </c>
      <c r="CD10" s="49">
        <f t="shared" si="1"/>
        <v>-0.50712493452188612</v>
      </c>
      <c r="CE10" s="49">
        <f t="shared" si="1"/>
        <v>-224.90608653107554</v>
      </c>
      <c r="CF10" s="49">
        <f t="shared" si="1"/>
        <v>-1.7399271116529256</v>
      </c>
      <c r="CG10" s="49">
        <f t="shared" si="1"/>
        <v>-0.18576988856827231</v>
      </c>
      <c r="CH10" s="49">
        <f t="shared" si="1"/>
        <v>0.18366358878366407</v>
      </c>
      <c r="CI10" s="49">
        <f t="shared" si="1"/>
        <v>-9.7923844661364896</v>
      </c>
      <c r="CJ10" s="49">
        <f t="shared" si="1"/>
        <v>-44.636707059075611</v>
      </c>
      <c r="CK10" s="49">
        <f t="shared" si="1"/>
        <v>0</v>
      </c>
      <c r="CL10" s="49" t="e">
        <f t="shared" si="1"/>
        <v>#DIV/0!</v>
      </c>
      <c r="CM10" s="49" t="e">
        <f t="shared" si="1"/>
        <v>#DIV/0!</v>
      </c>
      <c r="CN10" s="49" t="e">
        <f t="shared" si="2"/>
        <v>#DIV/0!</v>
      </c>
      <c r="CO10" s="49" t="e">
        <f t="shared" si="2"/>
        <v>#DIV/0!</v>
      </c>
      <c r="CP10" s="49" t="e">
        <f t="shared" si="2"/>
        <v>#DIV/0!</v>
      </c>
      <c r="CQ10" s="49" t="e">
        <f t="shared" si="2"/>
        <v>#DIV/0!</v>
      </c>
      <c r="CR10" s="49" t="e">
        <f t="shared" si="2"/>
        <v>#DIV/0!</v>
      </c>
      <c r="CS10" s="49" t="e">
        <f t="shared" si="2"/>
        <v>#DIV/0!</v>
      </c>
      <c r="CT10" s="49" t="e">
        <f t="shared" si="2"/>
        <v>#DIV/0!</v>
      </c>
      <c r="CU10" s="49" t="e">
        <f t="shared" si="2"/>
        <v>#DIV/0!</v>
      </c>
    </row>
    <row r="11" spans="1:99">
      <c r="A11" s="53" t="str">
        <f>IF( ISBLANK(beam_frmt_noFPM!A45), "", beam_frmt_noFPM!A45)</f>
        <v/>
      </c>
      <c r="B11" s="54">
        <f>IF( ISBLANK(beam_frmt_noFPM!B45), "", beam_frmt_noFPM!B45)</f>
        <v>0.41570000000000001</v>
      </c>
      <c r="C11" s="54">
        <f>IF( ISBLANK(beam_frmt_noFPM!C45), "", beam_frmt_noFPM!C45)</f>
        <v>0</v>
      </c>
      <c r="D11" s="54">
        <f>IF( ISBLANK(beam_frmt_noFPM!D45), "", beam_frmt_noFPM!D45)</f>
        <v>0</v>
      </c>
      <c r="E11" s="54">
        <f>IF( ISBLANK(beam_frmt_noFPM!E45), "", beam_frmt_noFPM!E45)</f>
        <v>1.3074135342533242</v>
      </c>
      <c r="F11" s="54">
        <f>IF( ISBLANK(beam_frmt_noFPM!F45), "", beam_frmt_noFPM!F45)</f>
        <v>4.7520494648070908E-3</v>
      </c>
      <c r="G11" s="54">
        <f>IF( ISBLANK(beam_frmt_noFPM!G45), "", beam_frmt_noFPM!G45)</f>
        <v>1.8220516536187428E-3</v>
      </c>
      <c r="H11" s="54">
        <f>IF( ISBLANK(beam_frmt_noFPM!H45), "", beam_frmt_noFPM!H45)</f>
        <v>5.3215113644170976E-5</v>
      </c>
      <c r="I11" s="54">
        <f>IF( ISBLANK(beam_frmt_noFPM!I45), "", beam_frmt_noFPM!I45)</f>
        <v>1.4689834795215549E-3</v>
      </c>
      <c r="J11" s="54">
        <f>IF( ISBLANK(beam_frmt_noFPM!J45), "", beam_frmt_noFPM!J45)</f>
        <v>-1.5648311660777472E-4</v>
      </c>
      <c r="K11" s="55">
        <f>IF( ISBLANK(beam_frmt_noFPM!K45), "", beam_frmt_noFPM!K45)</f>
        <v>27798251.612222262</v>
      </c>
      <c r="L11" s="56">
        <f>IF( ISBLANK(beam_frmt_noFPM!L45), "", beam_frmt_noFPM!L45)</f>
        <v>63186.27637870326</v>
      </c>
      <c r="M11" s="55">
        <f>IF( ISBLANK(beam_frmt_noFPM!M45), "", beam_frmt_noFPM!M45)</f>
        <v>-30044.869635113508</v>
      </c>
      <c r="N11" s="56">
        <f>IF( ISBLANK(beam_frmt_noFPM!N45), "", beam_frmt_noFPM!N45)</f>
        <v>1216.6269287800487</v>
      </c>
      <c r="O11" s="55">
        <f>IF( ISBLANK(beam_frmt_noFPM!O45), "", beam_frmt_noFPM!O45)</f>
        <v>11341.669342155874</v>
      </c>
      <c r="P11" s="56">
        <f>IF( ISBLANK(beam_frmt_noFPM!P45), "", beam_frmt_noFPM!P45)</f>
        <v>-1346.4804009598201</v>
      </c>
      <c r="Q11" s="55">
        <f>IF( ISBLANK(beam_frmt_noFPM!Q45), "", beam_frmt_noFPM!Q45)</f>
        <v>570.08231773200839</v>
      </c>
      <c r="R11" s="234">
        <f>IF( ISBLANK(beam_frmt_noFPM!R45), "", beam_frmt_noFPM!R45)</f>
        <v>1096684.6424604999</v>
      </c>
      <c r="S11" s="236">
        <f>IF( ISBLANK(beam_frmt_noFPM!S45), "", beam_frmt_noFPM!S45)</f>
        <v>973677.89181847253</v>
      </c>
      <c r="T11" s="55">
        <f>IF( ISBLANK(beam_frmt_noFPM!T45), "", beam_frmt_noFPM!T45)</f>
        <v>3315.9766092129021</v>
      </c>
      <c r="U11" s="55">
        <f>IF( ISBLANK(beam_frmt_noFPM!U45), "", beam_frmt_noFPM!U45)</f>
        <v>1173.0601274036683</v>
      </c>
      <c r="V11" s="206">
        <f>IF( ISBLANK(beam_frmt_noFPM!V45), "", beam_frmt_noFPM!V45)</f>
        <v>0.41570000000000001</v>
      </c>
      <c r="W11" s="124"/>
      <c r="X11" s="124"/>
      <c r="Y11" s="124"/>
      <c r="Z11" s="124"/>
      <c r="AA11" s="124"/>
      <c r="AB11" s="124"/>
      <c r="AC11" s="124"/>
      <c r="AD11" s="124"/>
      <c r="AE11" s="124"/>
      <c r="AF11" s="100"/>
      <c r="AI11" s="2"/>
      <c r="AJ11">
        <v>0.41570000000000001</v>
      </c>
      <c r="AK11">
        <v>0</v>
      </c>
      <c r="AL11">
        <v>0</v>
      </c>
      <c r="AM11" s="1">
        <v>1.30735</v>
      </c>
      <c r="AN11">
        <v>5.0559999999999997E-3</v>
      </c>
      <c r="AO11" s="1">
        <v>8.6799999999999996E-4</v>
      </c>
      <c r="AP11" s="1">
        <v>4.4367640000000001E-5</v>
      </c>
      <c r="AQ11" s="1">
        <v>1.4019900000000001E-3</v>
      </c>
      <c r="AR11" s="1">
        <v>1.3020339999999999E-4</v>
      </c>
      <c r="AS11" s="1">
        <v>27798170</v>
      </c>
      <c r="AT11" s="1">
        <v>66197.279999999999</v>
      </c>
      <c r="AU11" s="1">
        <v>-22800.67</v>
      </c>
      <c r="AV11" s="1">
        <v>1167.1320000000001</v>
      </c>
      <c r="AW11" s="1">
        <v>11384.16</v>
      </c>
      <c r="AX11" s="1">
        <v>1094.223</v>
      </c>
      <c r="AY11" s="1">
        <v>583.57129999999995</v>
      </c>
      <c r="AZ11" s="235">
        <v>1098259</v>
      </c>
      <c r="BA11" s="237">
        <v>972021.9</v>
      </c>
      <c r="BB11" s="1">
        <v>3637.9389999999999</v>
      </c>
      <c r="BC11" s="1">
        <v>1955.7239999999999</v>
      </c>
      <c r="BD11" s="1">
        <v>0.41570000000000001</v>
      </c>
      <c r="BE11" s="1"/>
      <c r="BF11" s="1"/>
      <c r="BG11" s="1"/>
      <c r="BH11" s="1"/>
      <c r="BI11" s="1"/>
      <c r="BJ11" s="1"/>
      <c r="BK11" s="1"/>
      <c r="BL11" s="1"/>
      <c r="BM11" s="1"/>
      <c r="BN11" s="67"/>
      <c r="BQ11" s="49">
        <f t="shared" si="0"/>
        <v>0</v>
      </c>
      <c r="BR11" s="49">
        <f t="shared" si="0"/>
        <v>0</v>
      </c>
      <c r="BS11" s="49">
        <f t="shared" si="0"/>
        <v>0</v>
      </c>
      <c r="BT11" s="49">
        <f t="shared" si="3"/>
        <v>4.859773842059982E-3</v>
      </c>
      <c r="BU11" s="49">
        <f t="shared" si="4"/>
        <v>-3.0395053519290897E-4</v>
      </c>
      <c r="BV11" s="49">
        <f t="shared" si="4"/>
        <v>9.5405165361874282E-4</v>
      </c>
      <c r="BW11" s="49">
        <f t="shared" si="5"/>
        <v>19.941276218818434</v>
      </c>
      <c r="BX11" s="49">
        <f t="shared" si="1"/>
        <v>4.7784563029375979</v>
      </c>
      <c r="BY11" s="49">
        <f t="shared" si="1"/>
        <v>-220.18358707051792</v>
      </c>
      <c r="BZ11" s="49">
        <f t="shared" si="1"/>
        <v>2.9358847097390534E-4</v>
      </c>
      <c r="CA11" s="49">
        <f t="shared" si="1"/>
        <v>-4.5485307270883926</v>
      </c>
      <c r="CB11" s="49">
        <f t="shared" si="1"/>
        <v>31.771871770055487</v>
      </c>
      <c r="CC11" s="49">
        <f t="shared" si="1"/>
        <v>4.2407310210026514</v>
      </c>
      <c r="CD11" s="49">
        <f t="shared" si="1"/>
        <v>-0.3732436810807821</v>
      </c>
      <c r="CE11" s="49">
        <f t="shared" si="1"/>
        <v>-223.05356412356713</v>
      </c>
      <c r="CF11" s="49">
        <f t="shared" si="1"/>
        <v>-2.3114540190704309</v>
      </c>
      <c r="CG11" s="49">
        <f t="shared" si="1"/>
        <v>-0.14335029710661237</v>
      </c>
      <c r="CH11" s="49">
        <f t="shared" si="1"/>
        <v>0.17036569016320621</v>
      </c>
      <c r="CI11" s="49">
        <f t="shared" si="1"/>
        <v>-8.8501316483618275</v>
      </c>
      <c r="CJ11" s="49">
        <f t="shared" si="1"/>
        <v>-40.01913729116847</v>
      </c>
      <c r="CK11" s="49">
        <f t="shared" si="1"/>
        <v>0</v>
      </c>
      <c r="CL11" s="49" t="e">
        <f t="shared" si="1"/>
        <v>#DIV/0!</v>
      </c>
      <c r="CM11" s="49" t="e">
        <f t="shared" si="1"/>
        <v>#DIV/0!</v>
      </c>
      <c r="CN11" s="49" t="e">
        <f t="shared" si="2"/>
        <v>#DIV/0!</v>
      </c>
      <c r="CO11" s="49" t="e">
        <f t="shared" si="2"/>
        <v>#DIV/0!</v>
      </c>
      <c r="CP11" s="49" t="e">
        <f t="shared" si="2"/>
        <v>#DIV/0!</v>
      </c>
      <c r="CQ11" s="49" t="e">
        <f t="shared" si="2"/>
        <v>#DIV/0!</v>
      </c>
      <c r="CR11" s="49" t="e">
        <f t="shared" si="2"/>
        <v>#DIV/0!</v>
      </c>
      <c r="CS11" s="49" t="e">
        <f t="shared" si="2"/>
        <v>#DIV/0!</v>
      </c>
      <c r="CT11" s="49" t="e">
        <f t="shared" si="2"/>
        <v>#DIV/0!</v>
      </c>
      <c r="CU11" s="49" t="e">
        <f t="shared" si="2"/>
        <v>#DIV/0!</v>
      </c>
    </row>
    <row r="12" spans="1:99">
      <c r="A12" s="53">
        <f>IF( ISBLANK(beam_frmt_noFPM!A46), "", beam_frmt_noFPM!A46)</f>
        <v>5</v>
      </c>
      <c r="B12" s="54">
        <f>IF( ISBLANK(beam_frmt_noFPM!B46), "", beam_frmt_noFPM!B46)</f>
        <v>0.41570000000000001</v>
      </c>
      <c r="C12" s="54">
        <f>IF( ISBLANK(beam_frmt_noFPM!C46), "", beam_frmt_noFPM!C46)</f>
        <v>0</v>
      </c>
      <c r="D12" s="54">
        <f>IF( ISBLANK(beam_frmt_noFPM!D46), "", beam_frmt_noFPM!D46)</f>
        <v>0</v>
      </c>
      <c r="E12" s="54">
        <f>IF( ISBLANK(beam_frmt_noFPM!E46), "", beam_frmt_noFPM!E46)</f>
        <v>1.3074135342533242</v>
      </c>
      <c r="F12" s="54">
        <f>IF( ISBLANK(beam_frmt_noFPM!F46), "", beam_frmt_noFPM!F46)</f>
        <v>4.7520494648070908E-3</v>
      </c>
      <c r="G12" s="54">
        <f>IF( ISBLANK(beam_frmt_noFPM!G46), "", beam_frmt_noFPM!G46)</f>
        <v>1.8220516536187428E-3</v>
      </c>
      <c r="H12" s="54">
        <f>IF( ISBLANK(beam_frmt_noFPM!H46), "", beam_frmt_noFPM!H46)</f>
        <v>5.3215113644170976E-5</v>
      </c>
      <c r="I12" s="54">
        <f>IF( ISBLANK(beam_frmt_noFPM!I46), "", beam_frmt_noFPM!I46)</f>
        <v>1.4689834795215549E-3</v>
      </c>
      <c r="J12" s="54">
        <f>IF( ISBLANK(beam_frmt_noFPM!J46), "", beam_frmt_noFPM!J46)</f>
        <v>-1.5648311660777472E-4</v>
      </c>
      <c r="K12" s="55">
        <f>IF( ISBLANK(beam_frmt_noFPM!K46), "", beam_frmt_noFPM!K46)</f>
        <v>27798251.612222262</v>
      </c>
      <c r="L12" s="56">
        <f>IF( ISBLANK(beam_frmt_noFPM!L46), "", beam_frmt_noFPM!L46)</f>
        <v>63186.27637870326</v>
      </c>
      <c r="M12" s="55">
        <f>IF( ISBLANK(beam_frmt_noFPM!M46), "", beam_frmt_noFPM!M46)</f>
        <v>-30044.869635113508</v>
      </c>
      <c r="N12" s="56">
        <f>IF( ISBLANK(beam_frmt_noFPM!N46), "", beam_frmt_noFPM!N46)</f>
        <v>1216.6269287800487</v>
      </c>
      <c r="O12" s="55">
        <f>IF( ISBLANK(beam_frmt_noFPM!O46), "", beam_frmt_noFPM!O46)</f>
        <v>11341.669342155874</v>
      </c>
      <c r="P12" s="56">
        <f>IF( ISBLANK(beam_frmt_noFPM!P46), "", beam_frmt_noFPM!P46)</f>
        <v>-1346.4804009598201</v>
      </c>
      <c r="Q12" s="55">
        <f>IF( ISBLANK(beam_frmt_noFPM!Q46), "", beam_frmt_noFPM!Q46)</f>
        <v>570.08231773200839</v>
      </c>
      <c r="R12" s="234">
        <f>IF( ISBLANK(beam_frmt_noFPM!R46), "", beam_frmt_noFPM!R46)</f>
        <v>1096684.6424604999</v>
      </c>
      <c r="S12" s="236">
        <f>IF( ISBLANK(beam_frmt_noFPM!S46), "", beam_frmt_noFPM!S46)</f>
        <v>973677.89181847253</v>
      </c>
      <c r="T12" s="55">
        <f>IF( ISBLANK(beam_frmt_noFPM!T46), "", beam_frmt_noFPM!T46)</f>
        <v>3315.9766092129021</v>
      </c>
      <c r="U12" s="55">
        <f>IF( ISBLANK(beam_frmt_noFPM!U46), "", beam_frmt_noFPM!U46)</f>
        <v>1173.0601274036683</v>
      </c>
      <c r="V12" s="206">
        <f>IF( ISBLANK(beam_frmt_noFPM!V46), "", beam_frmt_noFPM!V46)</f>
        <v>0.41570000000000001</v>
      </c>
      <c r="W12" s="124"/>
      <c r="X12" s="124"/>
      <c r="Y12" s="124"/>
      <c r="Z12" s="124"/>
      <c r="AA12" s="124"/>
      <c r="AB12" s="124"/>
      <c r="AC12" s="124"/>
      <c r="AD12" s="124"/>
      <c r="AE12" s="124"/>
      <c r="AF12" s="100"/>
      <c r="AI12" s="2">
        <v>5</v>
      </c>
      <c r="AJ12">
        <v>0.41570000000000001</v>
      </c>
      <c r="AK12">
        <v>0</v>
      </c>
      <c r="AL12">
        <v>0</v>
      </c>
      <c r="AM12" s="1">
        <v>1.30735</v>
      </c>
      <c r="AN12" s="1">
        <v>5.0559999999999997E-3</v>
      </c>
      <c r="AO12" s="1">
        <v>8.6799999999999996E-4</v>
      </c>
      <c r="AP12" s="1">
        <v>4.4367640000000001E-5</v>
      </c>
      <c r="AQ12" s="1">
        <v>1.4019900000000001E-3</v>
      </c>
      <c r="AR12" s="1">
        <v>1.3020339999999999E-4</v>
      </c>
      <c r="AS12" s="1">
        <v>27798170</v>
      </c>
      <c r="AT12" s="1">
        <v>66197.279999999999</v>
      </c>
      <c r="AU12" s="1">
        <v>-22800.67</v>
      </c>
      <c r="AV12" s="1">
        <v>1167.1320000000001</v>
      </c>
      <c r="AW12" s="1">
        <v>11384.16</v>
      </c>
      <c r="AX12" s="1">
        <v>1094.223</v>
      </c>
      <c r="AY12" s="1">
        <v>583.57129999999995</v>
      </c>
      <c r="AZ12" s="235">
        <v>1098259</v>
      </c>
      <c r="BA12" s="237">
        <v>972021.9</v>
      </c>
      <c r="BB12" s="1">
        <v>3637.9389999999999</v>
      </c>
      <c r="BC12" s="1">
        <v>1955.7239999999999</v>
      </c>
      <c r="BD12" s="1">
        <v>0.41570000000000001</v>
      </c>
      <c r="BE12" s="1"/>
      <c r="BF12" s="1"/>
      <c r="BG12" s="1"/>
      <c r="BH12" s="1"/>
      <c r="BI12" s="1"/>
      <c r="BJ12" s="1"/>
      <c r="BK12" s="1"/>
      <c r="BL12" s="1"/>
      <c r="BM12" s="1"/>
      <c r="BN12" s="67"/>
      <c r="BQ12" s="49">
        <f t="shared" si="0"/>
        <v>0</v>
      </c>
      <c r="BR12" s="49">
        <f t="shared" si="0"/>
        <v>0</v>
      </c>
      <c r="BS12" s="49">
        <f t="shared" si="0"/>
        <v>0</v>
      </c>
      <c r="BT12" s="49">
        <f t="shared" si="3"/>
        <v>4.859773842059982E-3</v>
      </c>
      <c r="BU12" s="49">
        <f t="shared" si="4"/>
        <v>-3.0395053519290897E-4</v>
      </c>
      <c r="BV12" s="49">
        <f t="shared" si="4"/>
        <v>9.5405165361874282E-4</v>
      </c>
      <c r="BW12" s="49">
        <f t="shared" si="5"/>
        <v>19.941276218818434</v>
      </c>
      <c r="BX12" s="49">
        <f t="shared" si="1"/>
        <v>4.7784563029375979</v>
      </c>
      <c r="BY12" s="49">
        <f t="shared" si="1"/>
        <v>-220.18358707051792</v>
      </c>
      <c r="BZ12" s="49">
        <f t="shared" si="1"/>
        <v>2.9358847097390534E-4</v>
      </c>
      <c r="CA12" s="49">
        <f t="shared" si="1"/>
        <v>-4.5485307270883926</v>
      </c>
      <c r="CB12" s="49">
        <f t="shared" si="1"/>
        <v>31.771871770055487</v>
      </c>
      <c r="CC12" s="49">
        <f t="shared" si="1"/>
        <v>4.2407310210026514</v>
      </c>
      <c r="CD12" s="49">
        <f t="shared" si="1"/>
        <v>-0.3732436810807821</v>
      </c>
      <c r="CE12" s="49">
        <f t="shared" si="1"/>
        <v>-223.05356412356713</v>
      </c>
      <c r="CF12" s="49">
        <f t="shared" si="1"/>
        <v>-2.3114540190704309</v>
      </c>
      <c r="CG12" s="49">
        <f t="shared" si="1"/>
        <v>-0.14335029710661237</v>
      </c>
      <c r="CH12" s="49">
        <f t="shared" si="1"/>
        <v>0.17036569016320621</v>
      </c>
      <c r="CI12" s="49">
        <f t="shared" si="1"/>
        <v>-8.8501316483618275</v>
      </c>
      <c r="CJ12" s="49">
        <f t="shared" si="1"/>
        <v>-40.01913729116847</v>
      </c>
      <c r="CK12" s="49">
        <f t="shared" si="1"/>
        <v>0</v>
      </c>
      <c r="CL12" s="49" t="e">
        <f t="shared" si="1"/>
        <v>#DIV/0!</v>
      </c>
      <c r="CM12" s="49" t="e">
        <f t="shared" si="1"/>
        <v>#DIV/0!</v>
      </c>
      <c r="CN12" s="49" t="e">
        <f t="shared" si="2"/>
        <v>#DIV/0!</v>
      </c>
      <c r="CO12" s="49" t="e">
        <f t="shared" si="2"/>
        <v>#DIV/0!</v>
      </c>
      <c r="CP12" s="49" t="e">
        <f t="shared" si="2"/>
        <v>#DIV/0!</v>
      </c>
      <c r="CQ12" s="49" t="e">
        <f t="shared" si="2"/>
        <v>#DIV/0!</v>
      </c>
      <c r="CR12" s="49" t="e">
        <f t="shared" si="2"/>
        <v>#DIV/0!</v>
      </c>
      <c r="CS12" s="49" t="e">
        <f t="shared" si="2"/>
        <v>#DIV/0!</v>
      </c>
      <c r="CT12" s="49" t="e">
        <f t="shared" si="2"/>
        <v>#DIV/0!</v>
      </c>
      <c r="CU12" s="49" t="e">
        <f t="shared" si="2"/>
        <v>#DIV/0!</v>
      </c>
    </row>
    <row r="13" spans="1:99">
      <c r="A13" s="53" t="str">
        <f>IF( ISBLANK(beam_frmt_noFPM!A47), "", beam_frmt_noFPM!A47)</f>
        <v/>
      </c>
      <c r="B13" s="54">
        <f>IF( ISBLANK(beam_frmt_noFPM!B47), "", beam_frmt_noFPM!B47)</f>
        <v>0.50129999999999997</v>
      </c>
      <c r="C13" s="54">
        <f>IF( ISBLANK(beam_frmt_noFPM!C47), "", beam_frmt_noFPM!C47)</f>
        <v>0</v>
      </c>
      <c r="D13" s="54">
        <f>IF( ISBLANK(beam_frmt_noFPM!D47), "", beam_frmt_noFPM!D47)</f>
        <v>0</v>
      </c>
      <c r="E13" s="54">
        <f>IF( ISBLANK(beam_frmt_noFPM!E47), "", beam_frmt_noFPM!E47)</f>
        <v>1.1849919329495515</v>
      </c>
      <c r="F13" s="54">
        <f>IF( ISBLANK(beam_frmt_noFPM!F47), "", beam_frmt_noFPM!F47)</f>
        <v>1.1459493261649972E-2</v>
      </c>
      <c r="G13" s="54">
        <f>IF( ISBLANK(beam_frmt_noFPM!G47), "", beam_frmt_noFPM!G47)</f>
        <v>2.434922798066598E-3</v>
      </c>
      <c r="H13" s="54">
        <f>IF( ISBLANK(beam_frmt_noFPM!H47), "", beam_frmt_noFPM!H47)</f>
        <v>4.4674954914784574E-5</v>
      </c>
      <c r="I13" s="54">
        <f>IF( ISBLANK(beam_frmt_noFPM!I47), "", beam_frmt_noFPM!I47)</f>
        <v>1.4692898509598279E-3</v>
      </c>
      <c r="J13" s="54">
        <f>IF( ISBLANK(beam_frmt_noFPM!J47), "", beam_frmt_noFPM!J47)</f>
        <v>-1.0331245403996722E-4</v>
      </c>
      <c r="K13" s="55">
        <f>IF( ISBLANK(beam_frmt_noFPM!K47), "", beam_frmt_noFPM!K47)</f>
        <v>27650161.261665121</v>
      </c>
      <c r="L13" s="56">
        <f>IF( ISBLANK(beam_frmt_noFPM!L47), "", beam_frmt_noFPM!L47)</f>
        <v>71688.926637598342</v>
      </c>
      <c r="M13" s="55">
        <f>IF( ISBLANK(beam_frmt_noFPM!M47), "", beam_frmt_noFPM!M47)</f>
        <v>-23385.351879252605</v>
      </c>
      <c r="N13" s="56">
        <f>IF( ISBLANK(beam_frmt_noFPM!N47), "", beam_frmt_noFPM!N47)</f>
        <v>1128.3039411275518</v>
      </c>
      <c r="O13" s="55">
        <f>IF( ISBLANK(beam_frmt_noFPM!O47), "", beam_frmt_noFPM!O47)</f>
        <v>11260.87879559773</v>
      </c>
      <c r="P13" s="56">
        <f>IF( ISBLANK(beam_frmt_noFPM!P47), "", beam_frmt_noFPM!P47)</f>
        <v>-1172.5321394988136</v>
      </c>
      <c r="Q13" s="55">
        <f>IF( ISBLANK(beam_frmt_noFPM!Q47), "", beam_frmt_noFPM!Q47)</f>
        <v>522.31133244928583</v>
      </c>
      <c r="R13" s="234">
        <f>IF( ISBLANK(beam_frmt_noFPM!R47), "", beam_frmt_noFPM!R47)</f>
        <v>1013650.2376039129</v>
      </c>
      <c r="S13" s="236">
        <f>IF( ISBLANK(beam_frmt_noFPM!S47), "", beam_frmt_noFPM!S47)</f>
        <v>899383.03040394373</v>
      </c>
      <c r="T13" s="55">
        <f>IF( ISBLANK(beam_frmt_noFPM!T47), "", beam_frmt_noFPM!T47)</f>
        <v>3278.4499823542224</v>
      </c>
      <c r="U13" s="55">
        <f>IF( ISBLANK(beam_frmt_noFPM!U47), "", beam_frmt_noFPM!U47)</f>
        <v>1504.7327586487916</v>
      </c>
      <c r="V13" s="206">
        <f>IF( ISBLANK(beam_frmt_noFPM!V47), "", beam_frmt_noFPM!V47)</f>
        <v>0.50129999999999997</v>
      </c>
      <c r="W13" s="124"/>
      <c r="X13" s="124"/>
      <c r="Y13" s="124"/>
      <c r="Z13" s="124"/>
      <c r="AA13" s="124"/>
      <c r="AB13" s="124"/>
      <c r="AC13" s="124"/>
      <c r="AD13" s="124"/>
      <c r="AE13" s="124"/>
      <c r="AF13" s="100"/>
      <c r="AI13" s="2"/>
      <c r="AJ13">
        <v>0.50129999999999997</v>
      </c>
      <c r="AK13">
        <v>0</v>
      </c>
      <c r="AL13">
        <v>0</v>
      </c>
      <c r="AM13" s="1">
        <v>1.1850039999999999</v>
      </c>
      <c r="AN13">
        <v>1.1727E-2</v>
      </c>
      <c r="AO13" s="1">
        <v>2.7099999999999997E-4</v>
      </c>
      <c r="AP13" s="1">
        <v>4.1594639999999999E-5</v>
      </c>
      <c r="AQ13" s="1">
        <v>1.4113579999999999E-3</v>
      </c>
      <c r="AR13" s="1">
        <v>1.179212E-4</v>
      </c>
      <c r="AS13" s="1">
        <v>27650180</v>
      </c>
      <c r="AT13" s="1">
        <v>73705.03</v>
      </c>
      <c r="AU13" s="1">
        <v>-16168.16</v>
      </c>
      <c r="AV13" s="1">
        <v>1097.22</v>
      </c>
      <c r="AW13" s="1">
        <v>11285.69</v>
      </c>
      <c r="AX13" s="1">
        <v>990.28449999999998</v>
      </c>
      <c r="AY13" s="1">
        <v>537.91060000000004</v>
      </c>
      <c r="AZ13" s="235">
        <v>1014849</v>
      </c>
      <c r="BA13" s="237">
        <v>898199.5</v>
      </c>
      <c r="BB13" s="1">
        <v>3569.81</v>
      </c>
      <c r="BC13" s="1">
        <v>2334.0059999999999</v>
      </c>
      <c r="BD13" s="1">
        <v>0.50129999999999997</v>
      </c>
      <c r="BE13" s="1"/>
      <c r="BF13" s="1"/>
      <c r="BG13" s="1"/>
      <c r="BH13" s="1"/>
      <c r="BI13" s="1"/>
      <c r="BJ13" s="1"/>
      <c r="BK13" s="1"/>
      <c r="BL13" s="1"/>
      <c r="BM13" s="1"/>
      <c r="BN13" s="67"/>
      <c r="BQ13" s="49">
        <f>B13 - AJ13</f>
        <v>0</v>
      </c>
      <c r="BR13" s="49">
        <f t="shared" si="0"/>
        <v>0</v>
      </c>
      <c r="BS13" s="49">
        <f t="shared" si="0"/>
        <v>0</v>
      </c>
      <c r="BT13" s="49">
        <f t="shared" si="3"/>
        <v>-1.0183130561945536E-3</v>
      </c>
      <c r="BU13" s="49">
        <f t="shared" si="4"/>
        <v>-2.6750673835002764E-4</v>
      </c>
      <c r="BV13" s="49">
        <f t="shared" si="4"/>
        <v>2.163922798066598E-3</v>
      </c>
      <c r="BW13" s="49">
        <f t="shared" si="5"/>
        <v>7.4055573381199471</v>
      </c>
      <c r="BX13" s="49">
        <f t="shared" si="1"/>
        <v>4.1046886020292508</v>
      </c>
      <c r="BY13" s="49">
        <f t="shared" si="1"/>
        <v>-187.61143377099896</v>
      </c>
      <c r="BZ13" s="49">
        <f t="shared" si="1"/>
        <v>-6.7769305224338989E-5</v>
      </c>
      <c r="CA13" s="49">
        <f t="shared" si="1"/>
        <v>-2.7353673994863801</v>
      </c>
      <c r="CB13" s="49">
        <f t="shared" si="1"/>
        <v>44.63830070492007</v>
      </c>
      <c r="CC13" s="49">
        <f t="shared" si="1"/>
        <v>2.8329725239743828</v>
      </c>
      <c r="CD13" s="49">
        <f t="shared" si="1"/>
        <v>-0.21984658804442581</v>
      </c>
      <c r="CE13" s="49">
        <f t="shared" si="1"/>
        <v>-218.40356377372504</v>
      </c>
      <c r="CF13" s="49">
        <f t="shared" si="1"/>
        <v>-2.8999740013887467</v>
      </c>
      <c r="CG13" s="49">
        <f t="shared" si="1"/>
        <v>-0.11812224243084983</v>
      </c>
      <c r="CH13" s="49">
        <f t="shared" si="1"/>
        <v>0.13176698539063231</v>
      </c>
      <c r="CI13" s="49">
        <f t="shared" si="1"/>
        <v>-8.1617794125115228</v>
      </c>
      <c r="CJ13" s="49">
        <f t="shared" si="1"/>
        <v>-35.530038969531716</v>
      </c>
      <c r="CK13" s="49">
        <f t="shared" si="1"/>
        <v>0</v>
      </c>
      <c r="CL13" s="49" t="e">
        <f t="shared" si="1"/>
        <v>#DIV/0!</v>
      </c>
      <c r="CM13" s="49" t="e">
        <f t="shared" si="1"/>
        <v>#DIV/0!</v>
      </c>
      <c r="CN13" s="49" t="e">
        <f t="shared" si="2"/>
        <v>#DIV/0!</v>
      </c>
      <c r="CO13" s="49" t="e">
        <f t="shared" si="2"/>
        <v>#DIV/0!</v>
      </c>
      <c r="CP13" s="49" t="e">
        <f t="shared" si="2"/>
        <v>#DIV/0!</v>
      </c>
      <c r="CQ13" s="49" t="e">
        <f t="shared" si="2"/>
        <v>#DIV/0!</v>
      </c>
      <c r="CR13" s="49" t="e">
        <f t="shared" si="2"/>
        <v>#DIV/0!</v>
      </c>
      <c r="CS13" s="49" t="e">
        <f t="shared" si="2"/>
        <v>#DIV/0!</v>
      </c>
      <c r="CT13" s="49" t="e">
        <f t="shared" si="2"/>
        <v>#DIV/0!</v>
      </c>
      <c r="CU13" s="49" t="e">
        <f t="shared" si="2"/>
        <v>#DIV/0!</v>
      </c>
    </row>
    <row r="14" spans="1:99">
      <c r="A14" s="53">
        <f>IF( ISBLANK(beam_frmt_noFPM!A48), "", beam_frmt_noFPM!A48)</f>
        <v>6</v>
      </c>
      <c r="B14" s="54">
        <f>IF( ISBLANK(beam_frmt_noFPM!B48), "", beam_frmt_noFPM!B48)</f>
        <v>0.50129999999999997</v>
      </c>
      <c r="C14" s="54">
        <f>IF( ISBLANK(beam_frmt_noFPM!C48), "", beam_frmt_noFPM!C48)</f>
        <v>0</v>
      </c>
      <c r="D14" s="54">
        <f>IF( ISBLANK(beam_frmt_noFPM!D48), "", beam_frmt_noFPM!D48)</f>
        <v>0</v>
      </c>
      <c r="E14" s="54">
        <f>IF( ISBLANK(beam_frmt_noFPM!E48), "", beam_frmt_noFPM!E48)</f>
        <v>1.1849919329495515</v>
      </c>
      <c r="F14" s="54">
        <f>IF( ISBLANK(beam_frmt_noFPM!F48), "", beam_frmt_noFPM!F48)</f>
        <v>1.1459493261649972E-2</v>
      </c>
      <c r="G14" s="54">
        <f>IF( ISBLANK(beam_frmt_noFPM!G48), "", beam_frmt_noFPM!G48)</f>
        <v>2.434922798066598E-3</v>
      </c>
      <c r="H14" s="54">
        <f>IF( ISBLANK(beam_frmt_noFPM!H48), "", beam_frmt_noFPM!H48)</f>
        <v>4.4674954914784574E-5</v>
      </c>
      <c r="I14" s="54">
        <f>IF( ISBLANK(beam_frmt_noFPM!I48), "", beam_frmt_noFPM!I48)</f>
        <v>1.4692898509598279E-3</v>
      </c>
      <c r="J14" s="54">
        <f>IF( ISBLANK(beam_frmt_noFPM!J48), "", beam_frmt_noFPM!J48)</f>
        <v>-1.0331245403996722E-4</v>
      </c>
      <c r="K14" s="55">
        <f>IF( ISBLANK(beam_frmt_noFPM!K48), "", beam_frmt_noFPM!K48)</f>
        <v>27650161.261665121</v>
      </c>
      <c r="L14" s="56">
        <f>IF( ISBLANK(beam_frmt_noFPM!L48), "", beam_frmt_noFPM!L48)</f>
        <v>71688.926637598342</v>
      </c>
      <c r="M14" s="55">
        <f>IF( ISBLANK(beam_frmt_noFPM!M48), "", beam_frmt_noFPM!M48)</f>
        <v>-23385.351879252605</v>
      </c>
      <c r="N14" s="56">
        <f>IF( ISBLANK(beam_frmt_noFPM!N48), "", beam_frmt_noFPM!N48)</f>
        <v>1128.3039411275518</v>
      </c>
      <c r="O14" s="55">
        <f>IF( ISBLANK(beam_frmt_noFPM!O48), "", beam_frmt_noFPM!O48)</f>
        <v>11260.87879559773</v>
      </c>
      <c r="P14" s="56">
        <f>IF( ISBLANK(beam_frmt_noFPM!P48), "", beam_frmt_noFPM!P48)</f>
        <v>-1172.5321394988136</v>
      </c>
      <c r="Q14" s="55">
        <f>IF( ISBLANK(beam_frmt_noFPM!Q48), "", beam_frmt_noFPM!Q48)</f>
        <v>522.31133244928583</v>
      </c>
      <c r="R14" s="234">
        <f>IF( ISBLANK(beam_frmt_noFPM!R48), "", beam_frmt_noFPM!R48)</f>
        <v>1013650.2376039129</v>
      </c>
      <c r="S14" s="236">
        <f>IF( ISBLANK(beam_frmt_noFPM!S48), "", beam_frmt_noFPM!S48)</f>
        <v>899383.03040394373</v>
      </c>
      <c r="T14" s="55">
        <f>IF( ISBLANK(beam_frmt_noFPM!T48), "", beam_frmt_noFPM!T48)</f>
        <v>3278.4499823542224</v>
      </c>
      <c r="U14" s="55">
        <f>IF( ISBLANK(beam_frmt_noFPM!U48), "", beam_frmt_noFPM!U48)</f>
        <v>1504.7327586487916</v>
      </c>
      <c r="V14" s="206">
        <f>IF( ISBLANK(beam_frmt_noFPM!V48), "", beam_frmt_noFPM!V48)</f>
        <v>0.50129999999999997</v>
      </c>
      <c r="W14" s="124"/>
      <c r="X14" s="124"/>
      <c r="Y14" s="124"/>
      <c r="Z14" s="124"/>
      <c r="AA14" s="124"/>
      <c r="AB14" s="124"/>
      <c r="AC14" s="124"/>
      <c r="AD14" s="124"/>
      <c r="AE14" s="124"/>
      <c r="AF14" s="100"/>
      <c r="AI14" s="2">
        <v>6</v>
      </c>
      <c r="AJ14">
        <v>0.50129999999999997</v>
      </c>
      <c r="AK14">
        <v>0</v>
      </c>
      <c r="AL14">
        <v>0</v>
      </c>
      <c r="AM14" s="1">
        <v>1.1850039999999999</v>
      </c>
      <c r="AN14" s="1">
        <v>1.1727E-2</v>
      </c>
      <c r="AO14" s="1">
        <v>2.7099999999999997E-4</v>
      </c>
      <c r="AP14" s="1">
        <v>4.1594639999999999E-5</v>
      </c>
      <c r="AQ14" s="1">
        <v>1.4113579999999999E-3</v>
      </c>
      <c r="AR14" s="1">
        <v>1.179212E-4</v>
      </c>
      <c r="AS14" s="1">
        <v>27650180</v>
      </c>
      <c r="AT14" s="1">
        <v>73705.03</v>
      </c>
      <c r="AU14" s="1">
        <v>-16168.16</v>
      </c>
      <c r="AV14" s="1">
        <v>1097.22</v>
      </c>
      <c r="AW14" s="1">
        <v>11285.69</v>
      </c>
      <c r="AX14" s="1">
        <v>990.28449999999998</v>
      </c>
      <c r="AY14" s="1">
        <v>537.91060000000004</v>
      </c>
      <c r="AZ14" s="235">
        <v>1014849</v>
      </c>
      <c r="BA14" s="237">
        <v>898199.5</v>
      </c>
      <c r="BB14" s="1">
        <v>3569.81</v>
      </c>
      <c r="BC14" s="1">
        <v>2334.0059999999999</v>
      </c>
      <c r="BD14" s="1">
        <v>0.50129999999999997</v>
      </c>
      <c r="BE14" s="1"/>
      <c r="BF14" s="1"/>
      <c r="BG14" s="1"/>
      <c r="BH14" s="1"/>
      <c r="BI14" s="1"/>
      <c r="BJ14" s="1"/>
      <c r="BK14" s="1"/>
      <c r="BL14" s="1"/>
      <c r="BM14" s="1"/>
      <c r="BN14" s="67"/>
      <c r="BQ14" s="49">
        <f t="shared" si="0"/>
        <v>0</v>
      </c>
      <c r="BR14" s="49">
        <f t="shared" si="0"/>
        <v>0</v>
      </c>
      <c r="BS14" s="49">
        <f t="shared" si="0"/>
        <v>0</v>
      </c>
      <c r="BT14" s="49">
        <f t="shared" si="3"/>
        <v>-1.0183130561945536E-3</v>
      </c>
      <c r="BU14" s="49">
        <f t="shared" si="4"/>
        <v>-2.6750673835002764E-4</v>
      </c>
      <c r="BV14" s="49">
        <f t="shared" si="4"/>
        <v>2.163922798066598E-3</v>
      </c>
      <c r="BW14" s="49">
        <f t="shared" si="5"/>
        <v>7.4055573381199471</v>
      </c>
      <c r="BX14" s="49">
        <f t="shared" si="1"/>
        <v>4.1046886020292508</v>
      </c>
      <c r="BY14" s="49">
        <f t="shared" si="1"/>
        <v>-187.61143377099896</v>
      </c>
      <c r="BZ14" s="49">
        <f t="shared" si="1"/>
        <v>-6.7769305224338989E-5</v>
      </c>
      <c r="CA14" s="49">
        <f t="shared" si="1"/>
        <v>-2.7353673994863801</v>
      </c>
      <c r="CB14" s="49">
        <f t="shared" si="1"/>
        <v>44.63830070492007</v>
      </c>
      <c r="CC14" s="49">
        <f t="shared" si="1"/>
        <v>2.8329725239743828</v>
      </c>
      <c r="CD14" s="49">
        <f t="shared" si="1"/>
        <v>-0.21984658804442581</v>
      </c>
      <c r="CE14" s="49">
        <f t="shared" si="1"/>
        <v>-218.40356377372504</v>
      </c>
      <c r="CF14" s="49">
        <f t="shared" si="1"/>
        <v>-2.8999740013887467</v>
      </c>
      <c r="CG14" s="49">
        <f t="shared" si="1"/>
        <v>-0.11812224243084983</v>
      </c>
      <c r="CH14" s="49">
        <f t="shared" si="1"/>
        <v>0.13176698539063231</v>
      </c>
      <c r="CI14" s="49">
        <f t="shared" si="1"/>
        <v>-8.1617794125115228</v>
      </c>
      <c r="CJ14" s="49">
        <f t="shared" si="1"/>
        <v>-35.530038969531716</v>
      </c>
      <c r="CK14" s="49">
        <f t="shared" si="1"/>
        <v>0</v>
      </c>
      <c r="CL14" s="49" t="e">
        <f t="shared" si="1"/>
        <v>#DIV/0!</v>
      </c>
      <c r="CM14" s="49" t="e">
        <f t="shared" si="1"/>
        <v>#DIV/0!</v>
      </c>
      <c r="CN14" s="49" t="e">
        <f t="shared" si="2"/>
        <v>#DIV/0!</v>
      </c>
      <c r="CO14" s="49" t="e">
        <f t="shared" si="2"/>
        <v>#DIV/0!</v>
      </c>
      <c r="CP14" s="49" t="e">
        <f t="shared" si="2"/>
        <v>#DIV/0!</v>
      </c>
      <c r="CQ14" s="49" t="e">
        <f t="shared" si="2"/>
        <v>#DIV/0!</v>
      </c>
      <c r="CR14" s="49" t="e">
        <f t="shared" si="2"/>
        <v>#DIV/0!</v>
      </c>
      <c r="CS14" s="49" t="e">
        <f t="shared" si="2"/>
        <v>#DIV/0!</v>
      </c>
      <c r="CT14" s="49" t="e">
        <f t="shared" si="2"/>
        <v>#DIV/0!</v>
      </c>
      <c r="CU14" s="49" t="e">
        <f t="shared" si="2"/>
        <v>#DIV/0!</v>
      </c>
    </row>
    <row r="15" spans="1:99">
      <c r="A15" s="53" t="str">
        <f>IF( ISBLANK(beam_frmt_noFPM!A49), "", beam_frmt_noFPM!A49)</f>
        <v/>
      </c>
      <c r="B15" s="54">
        <f>IF( ISBLANK(beam_frmt_noFPM!B49), "", beam_frmt_noFPM!B49)</f>
        <v>0.58499999999999996</v>
      </c>
      <c r="C15" s="54">
        <f>IF( ISBLANK(beam_frmt_noFPM!C49), "", beam_frmt_noFPM!C49)</f>
        <v>0</v>
      </c>
      <c r="D15" s="54">
        <f>IF( ISBLANK(beam_frmt_noFPM!D49), "", beam_frmt_noFPM!D49)</f>
        <v>0</v>
      </c>
      <c r="E15" s="54">
        <f>IF( ISBLANK(beam_frmt_noFPM!E49), "", beam_frmt_noFPM!E49)</f>
        <v>1.0850754146040551</v>
      </c>
      <c r="F15" s="54">
        <f>IF( ISBLANK(beam_frmt_noFPM!F49), "", beam_frmt_noFPM!F49)</f>
        <v>1.6571721769626367E-2</v>
      </c>
      <c r="G15" s="54">
        <f>IF( ISBLANK(beam_frmt_noFPM!G49), "", beam_frmt_noFPM!G49)</f>
        <v>3.5126711700243524E-3</v>
      </c>
      <c r="H15" s="54">
        <f>IF( ISBLANK(beam_frmt_noFPM!H49), "", beam_frmt_noFPM!H49)</f>
        <v>4.1881123288962204E-5</v>
      </c>
      <c r="I15" s="54">
        <f>IF( ISBLANK(beam_frmt_noFPM!I49), "", beam_frmt_noFPM!I49)</f>
        <v>1.4667317430547436E-3</v>
      </c>
      <c r="J15" s="54">
        <f>IF( ISBLANK(beam_frmt_noFPM!J49), "", beam_frmt_noFPM!J49)</f>
        <v>-5.8591157140455896E-5</v>
      </c>
      <c r="K15" s="55">
        <f>IF( ISBLANK(beam_frmt_noFPM!K49), "", beam_frmt_noFPM!K49)</f>
        <v>27534491.798706997</v>
      </c>
      <c r="L15" s="56">
        <f>IF( ISBLANK(beam_frmt_noFPM!L49), "", beam_frmt_noFPM!L49)</f>
        <v>50003.586839392832</v>
      </c>
      <c r="M15" s="55">
        <f>IF( ISBLANK(beam_frmt_noFPM!M49), "", beam_frmt_noFPM!M49)</f>
        <v>-17747.985531103499</v>
      </c>
      <c r="N15" s="56">
        <f>IF( ISBLANK(beam_frmt_noFPM!N49), "", beam_frmt_noFPM!N49)</f>
        <v>953.30322578800281</v>
      </c>
      <c r="O15" s="55">
        <f>IF( ISBLANK(beam_frmt_noFPM!O49), "", beam_frmt_noFPM!O49)</f>
        <v>11169.004590294024</v>
      </c>
      <c r="P15" s="56">
        <f>IF( ISBLANK(beam_frmt_noFPM!P49), "", beam_frmt_noFPM!P49)</f>
        <v>-1079.2602912215898</v>
      </c>
      <c r="Q15" s="55">
        <f>IF( ISBLANK(beam_frmt_noFPM!Q49), "", beam_frmt_noFPM!Q49)</f>
        <v>483.21044793475335</v>
      </c>
      <c r="R15" s="234">
        <f>IF( ISBLANK(beam_frmt_noFPM!R49), "", beam_frmt_noFPM!R49)</f>
        <v>944305.58954613423</v>
      </c>
      <c r="S15" s="236">
        <f>IF( ISBLANK(beam_frmt_noFPM!S49), "", beam_frmt_noFPM!S49)</f>
        <v>837286.65259652107</v>
      </c>
      <c r="T15" s="55">
        <f>IF( ISBLANK(beam_frmt_noFPM!T49), "", beam_frmt_noFPM!T49)</f>
        <v>2593.5712235339188</v>
      </c>
      <c r="U15" s="55">
        <f>IF( ISBLANK(beam_frmt_noFPM!U49), "", beam_frmt_noFPM!U49)</f>
        <v>1853.8640103468956</v>
      </c>
      <c r="V15" s="206">
        <f>IF( ISBLANK(beam_frmt_noFPM!V49), "", beam_frmt_noFPM!V49)</f>
        <v>0.58499999999999996</v>
      </c>
      <c r="W15" s="124"/>
      <c r="X15" s="124"/>
      <c r="Y15" s="124"/>
      <c r="Z15" s="124"/>
      <c r="AA15" s="124"/>
      <c r="AB15" s="124"/>
      <c r="AC15" s="124"/>
      <c r="AD15" s="124"/>
      <c r="AE15" s="124"/>
      <c r="AF15" s="100"/>
      <c r="AI15" s="2"/>
      <c r="AJ15">
        <v>0.58499999999999996</v>
      </c>
      <c r="AK15">
        <v>0</v>
      </c>
      <c r="AL15">
        <v>0</v>
      </c>
      <c r="AM15" s="1">
        <v>1.085086</v>
      </c>
      <c r="AN15">
        <v>1.6927999999999999E-2</v>
      </c>
      <c r="AO15" s="1">
        <v>6.1300000000000005E-4</v>
      </c>
      <c r="AP15" s="1">
        <v>3.7928130000000002E-5</v>
      </c>
      <c r="AQ15" s="1">
        <v>1.4704010000000001E-3</v>
      </c>
      <c r="AR15" s="1">
        <v>8.8121619999999995E-5</v>
      </c>
      <c r="AS15" s="1">
        <v>27534490</v>
      </c>
      <c r="AT15" s="1">
        <v>51415.22</v>
      </c>
      <c r="AU15" s="1">
        <v>-13367.37</v>
      </c>
      <c r="AV15" s="1">
        <v>891.09979999999996</v>
      </c>
      <c r="AW15" s="1">
        <v>11213.87</v>
      </c>
      <c r="AX15" s="1">
        <v>784.81650000000002</v>
      </c>
      <c r="AY15" s="1">
        <v>496.46</v>
      </c>
      <c r="AZ15" s="235">
        <v>945123.9</v>
      </c>
      <c r="BA15" s="237">
        <v>836489</v>
      </c>
      <c r="BB15" s="1">
        <v>2744.4670000000001</v>
      </c>
      <c r="BC15" s="1">
        <v>2618.56</v>
      </c>
      <c r="BD15" s="1">
        <v>0.58499999999999996</v>
      </c>
      <c r="BE15" s="1"/>
      <c r="BF15" s="1"/>
      <c r="BG15" s="1"/>
      <c r="BH15" s="1"/>
      <c r="BI15" s="1"/>
      <c r="BJ15" s="1"/>
      <c r="BK15" s="1"/>
      <c r="BL15" s="1"/>
      <c r="BM15" s="1"/>
      <c r="BN15" s="67"/>
      <c r="BQ15" s="49">
        <f t="shared" si="0"/>
        <v>0</v>
      </c>
      <c r="BR15" s="49">
        <f t="shared" si="0"/>
        <v>0</v>
      </c>
      <c r="BS15" s="49">
        <f t="shared" si="0"/>
        <v>0</v>
      </c>
      <c r="BT15" s="49">
        <f t="shared" si="3"/>
        <v>-9.7553520595559994E-4</v>
      </c>
      <c r="BU15" s="49">
        <f t="shared" si="4"/>
        <v>-3.5627823037363143E-4</v>
      </c>
      <c r="BV15" s="49">
        <f t="shared" si="4"/>
        <v>2.8996711700243526E-3</v>
      </c>
      <c r="BW15" s="49">
        <f t="shared" si="5"/>
        <v>10.422325827722593</v>
      </c>
      <c r="BX15" s="49">
        <f t="shared" si="1"/>
        <v>-0.24954124386861151</v>
      </c>
      <c r="BY15" s="49">
        <f t="shared" si="1"/>
        <v>-166.48896960865667</v>
      </c>
      <c r="BZ15" s="49">
        <f t="shared" si="1"/>
        <v>6.5325596994385796E-6</v>
      </c>
      <c r="CA15" s="49">
        <f t="shared" si="1"/>
        <v>-2.7455550333289813</v>
      </c>
      <c r="CB15" s="49">
        <f t="shared" si="1"/>
        <v>32.770960414079191</v>
      </c>
      <c r="CC15" s="49">
        <f t="shared" si="1"/>
        <v>6.9805229210019863</v>
      </c>
      <c r="CD15" s="49">
        <f t="shared" si="1"/>
        <v>-0.40008854843133612</v>
      </c>
      <c r="CE15" s="49">
        <f t="shared" si="1"/>
        <v>-237.51753323504153</v>
      </c>
      <c r="CF15" s="49">
        <f t="shared" si="1"/>
        <v>-2.6688055563885578</v>
      </c>
      <c r="CG15" s="49">
        <f t="shared" si="1"/>
        <v>-8.6582346914070588E-2</v>
      </c>
      <c r="CH15" s="49">
        <f t="shared" si="1"/>
        <v>9.5357212888761825E-2</v>
      </c>
      <c r="CI15" s="49">
        <f t="shared" si="1"/>
        <v>-5.4981814853697024</v>
      </c>
      <c r="CJ15" s="49">
        <f t="shared" si="1"/>
        <v>-29.202920294096923</v>
      </c>
      <c r="CK15" s="49">
        <f t="shared" si="1"/>
        <v>0</v>
      </c>
      <c r="CL15" s="49" t="e">
        <f t="shared" si="1"/>
        <v>#DIV/0!</v>
      </c>
      <c r="CM15" s="49" t="e">
        <f t="shared" si="1"/>
        <v>#DIV/0!</v>
      </c>
      <c r="CN15" s="49" t="e">
        <f t="shared" si="2"/>
        <v>#DIV/0!</v>
      </c>
      <c r="CO15" s="49" t="e">
        <f t="shared" si="2"/>
        <v>#DIV/0!</v>
      </c>
      <c r="CP15" s="49" t="e">
        <f t="shared" si="2"/>
        <v>#DIV/0!</v>
      </c>
      <c r="CQ15" s="49" t="e">
        <f t="shared" si="2"/>
        <v>#DIV/0!</v>
      </c>
      <c r="CR15" s="49" t="e">
        <f t="shared" si="2"/>
        <v>#DIV/0!</v>
      </c>
      <c r="CS15" s="49" t="e">
        <f t="shared" si="2"/>
        <v>#DIV/0!</v>
      </c>
      <c r="CT15" s="49" t="e">
        <f t="shared" si="2"/>
        <v>#DIV/0!</v>
      </c>
      <c r="CU15" s="49" t="e">
        <f t="shared" si="2"/>
        <v>#DIV/0!</v>
      </c>
    </row>
    <row r="16" spans="1:99">
      <c r="A16" s="53">
        <f>IF( ISBLANK(beam_frmt_noFPM!A50), "", beam_frmt_noFPM!A50)</f>
        <v>7</v>
      </c>
      <c r="B16" s="54">
        <f>IF( ISBLANK(beam_frmt_noFPM!B50), "", beam_frmt_noFPM!B50)</f>
        <v>0.58499999999999996</v>
      </c>
      <c r="C16" s="54">
        <f>IF( ISBLANK(beam_frmt_noFPM!C50), "", beam_frmt_noFPM!C50)</f>
        <v>0</v>
      </c>
      <c r="D16" s="54">
        <f>IF( ISBLANK(beam_frmt_noFPM!D50), "", beam_frmt_noFPM!D50)</f>
        <v>0</v>
      </c>
      <c r="E16" s="54">
        <f>IF( ISBLANK(beam_frmt_noFPM!E50), "", beam_frmt_noFPM!E50)</f>
        <v>1.0850754146040551</v>
      </c>
      <c r="F16" s="54">
        <f>IF( ISBLANK(beam_frmt_noFPM!F50), "", beam_frmt_noFPM!F50)</f>
        <v>1.6571721769626367E-2</v>
      </c>
      <c r="G16" s="54">
        <f>IF( ISBLANK(beam_frmt_noFPM!G50), "", beam_frmt_noFPM!G50)</f>
        <v>3.5126711700243524E-3</v>
      </c>
      <c r="H16" s="54">
        <f>IF( ISBLANK(beam_frmt_noFPM!H50), "", beam_frmt_noFPM!H50)</f>
        <v>4.1881123288962204E-5</v>
      </c>
      <c r="I16" s="54">
        <f>IF( ISBLANK(beam_frmt_noFPM!I50), "", beam_frmt_noFPM!I50)</f>
        <v>1.4667317430547436E-3</v>
      </c>
      <c r="J16" s="54">
        <f>IF( ISBLANK(beam_frmt_noFPM!J50), "", beam_frmt_noFPM!J50)</f>
        <v>-5.8591157140455896E-5</v>
      </c>
      <c r="K16" s="55">
        <f>IF( ISBLANK(beam_frmt_noFPM!K50), "", beam_frmt_noFPM!K50)</f>
        <v>27534491.798706997</v>
      </c>
      <c r="L16" s="56">
        <f>IF( ISBLANK(beam_frmt_noFPM!L50), "", beam_frmt_noFPM!L50)</f>
        <v>50003.586839392832</v>
      </c>
      <c r="M16" s="55">
        <f>IF( ISBLANK(beam_frmt_noFPM!M50), "", beam_frmt_noFPM!M50)</f>
        <v>-17747.985531103499</v>
      </c>
      <c r="N16" s="56">
        <f>IF( ISBLANK(beam_frmt_noFPM!N50), "", beam_frmt_noFPM!N50)</f>
        <v>953.30322578800281</v>
      </c>
      <c r="O16" s="55">
        <f>IF( ISBLANK(beam_frmt_noFPM!O50), "", beam_frmt_noFPM!O50)</f>
        <v>11169.004590294024</v>
      </c>
      <c r="P16" s="56">
        <f>IF( ISBLANK(beam_frmt_noFPM!P50), "", beam_frmt_noFPM!P50)</f>
        <v>-1079.2602912215898</v>
      </c>
      <c r="Q16" s="55">
        <f>IF( ISBLANK(beam_frmt_noFPM!Q50), "", beam_frmt_noFPM!Q50)</f>
        <v>483.21044793475335</v>
      </c>
      <c r="R16" s="234">
        <f>IF( ISBLANK(beam_frmt_noFPM!R50), "", beam_frmt_noFPM!R50)</f>
        <v>944305.58954613423</v>
      </c>
      <c r="S16" s="236">
        <f>IF( ISBLANK(beam_frmt_noFPM!S50), "", beam_frmt_noFPM!S50)</f>
        <v>837286.65259652107</v>
      </c>
      <c r="T16" s="55">
        <f>IF( ISBLANK(beam_frmt_noFPM!T50), "", beam_frmt_noFPM!T50)</f>
        <v>2593.5712235339188</v>
      </c>
      <c r="U16" s="55">
        <f>IF( ISBLANK(beam_frmt_noFPM!U50), "", beam_frmt_noFPM!U50)</f>
        <v>1853.8640103468956</v>
      </c>
      <c r="V16" s="206">
        <f>IF( ISBLANK(beam_frmt_noFPM!V50), "", beam_frmt_noFPM!V50)</f>
        <v>0.58499999999999996</v>
      </c>
      <c r="W16" s="124"/>
      <c r="X16" s="124"/>
      <c r="Y16" s="124"/>
      <c r="Z16" s="124"/>
      <c r="AA16" s="124"/>
      <c r="AB16" s="124"/>
      <c r="AC16" s="124"/>
      <c r="AD16" s="124"/>
      <c r="AE16" s="124"/>
      <c r="AF16" s="100"/>
      <c r="AI16" s="2">
        <v>7</v>
      </c>
      <c r="AJ16">
        <v>0.58499999999999996</v>
      </c>
      <c r="AK16">
        <v>0</v>
      </c>
      <c r="AL16">
        <v>0</v>
      </c>
      <c r="AM16" s="1">
        <v>1.085086</v>
      </c>
      <c r="AN16" s="1">
        <v>1.6927999999999999E-2</v>
      </c>
      <c r="AO16" s="1">
        <v>6.1300000000000005E-4</v>
      </c>
      <c r="AP16" s="1">
        <v>3.7928130000000002E-5</v>
      </c>
      <c r="AQ16" s="1">
        <v>1.4704010000000001E-3</v>
      </c>
      <c r="AR16" s="1">
        <v>8.8121619999999995E-5</v>
      </c>
      <c r="AS16" s="1">
        <v>27534490</v>
      </c>
      <c r="AT16" s="1">
        <v>51415.22</v>
      </c>
      <c r="AU16" s="1">
        <v>-13367.37</v>
      </c>
      <c r="AV16" s="1">
        <v>891.09979999999996</v>
      </c>
      <c r="AW16" s="1">
        <v>11213.87</v>
      </c>
      <c r="AX16" s="1">
        <v>784.81650000000002</v>
      </c>
      <c r="AY16" s="1">
        <v>496.46</v>
      </c>
      <c r="AZ16" s="235">
        <v>945123.9</v>
      </c>
      <c r="BA16" s="237">
        <v>836489</v>
      </c>
      <c r="BB16" s="1">
        <v>2744.4670000000001</v>
      </c>
      <c r="BC16" s="1">
        <v>2618.56</v>
      </c>
      <c r="BD16" s="1">
        <v>0.58499999999999996</v>
      </c>
      <c r="BE16" s="1"/>
      <c r="BF16" s="1"/>
      <c r="BG16" s="1"/>
      <c r="BH16" s="1"/>
      <c r="BI16" s="1"/>
      <c r="BJ16" s="1"/>
      <c r="BK16" s="1"/>
      <c r="BL16" s="1"/>
      <c r="BM16" s="1"/>
      <c r="BN16" s="67"/>
      <c r="BQ16" s="49">
        <f t="shared" si="0"/>
        <v>0</v>
      </c>
      <c r="BR16" s="49">
        <f t="shared" si="0"/>
        <v>0</v>
      </c>
      <c r="BS16" s="49">
        <f t="shared" si="0"/>
        <v>0</v>
      </c>
      <c r="BT16" s="49">
        <f t="shared" si="3"/>
        <v>-9.7553520595559994E-4</v>
      </c>
      <c r="BU16" s="49">
        <f t="shared" si="4"/>
        <v>-3.5627823037363143E-4</v>
      </c>
      <c r="BV16" s="49">
        <f t="shared" si="4"/>
        <v>2.8996711700243526E-3</v>
      </c>
      <c r="BW16" s="49">
        <f t="shared" si="5"/>
        <v>10.422325827722593</v>
      </c>
      <c r="BX16" s="49">
        <f t="shared" si="1"/>
        <v>-0.24954124386861151</v>
      </c>
      <c r="BY16" s="49">
        <f t="shared" si="1"/>
        <v>-166.48896960865667</v>
      </c>
      <c r="BZ16" s="49">
        <f t="shared" si="1"/>
        <v>6.5325596994385796E-6</v>
      </c>
      <c r="CA16" s="49">
        <f t="shared" si="1"/>
        <v>-2.7455550333289813</v>
      </c>
      <c r="CB16" s="49">
        <f t="shared" si="1"/>
        <v>32.770960414079191</v>
      </c>
      <c r="CC16" s="49">
        <f t="shared" si="1"/>
        <v>6.9805229210019863</v>
      </c>
      <c r="CD16" s="49">
        <f t="shared" si="1"/>
        <v>-0.40008854843133612</v>
      </c>
      <c r="CE16" s="49">
        <f t="shared" si="1"/>
        <v>-237.51753323504153</v>
      </c>
      <c r="CF16" s="49">
        <f t="shared" si="1"/>
        <v>-2.6688055563885578</v>
      </c>
      <c r="CG16" s="49">
        <f t="shared" si="1"/>
        <v>-8.6582346914070588E-2</v>
      </c>
      <c r="CH16" s="49">
        <f t="shared" si="1"/>
        <v>9.5357212888761825E-2</v>
      </c>
      <c r="CI16" s="49">
        <f t="shared" si="1"/>
        <v>-5.4981814853697024</v>
      </c>
      <c r="CJ16" s="49">
        <f t="shared" si="1"/>
        <v>-29.202920294096923</v>
      </c>
      <c r="CK16" s="49">
        <f t="shared" si="1"/>
        <v>0</v>
      </c>
      <c r="CL16" s="49" t="e">
        <f t="shared" si="1"/>
        <v>#DIV/0!</v>
      </c>
      <c r="CM16" s="49" t="e">
        <f t="shared" si="1"/>
        <v>#DIV/0!</v>
      </c>
      <c r="CN16" s="49" t="e">
        <f t="shared" si="2"/>
        <v>#DIV/0!</v>
      </c>
      <c r="CO16" s="49" t="e">
        <f t="shared" si="2"/>
        <v>#DIV/0!</v>
      </c>
      <c r="CP16" s="49" t="e">
        <f t="shared" si="2"/>
        <v>#DIV/0!</v>
      </c>
      <c r="CQ16" s="49" t="e">
        <f t="shared" si="2"/>
        <v>#DIV/0!</v>
      </c>
      <c r="CR16" s="49" t="e">
        <f t="shared" si="2"/>
        <v>#DIV/0!</v>
      </c>
      <c r="CS16" s="49" t="e">
        <f t="shared" si="2"/>
        <v>#DIV/0!</v>
      </c>
      <c r="CT16" s="49" t="e">
        <f t="shared" si="2"/>
        <v>#DIV/0!</v>
      </c>
      <c r="CU16" s="49" t="e">
        <f t="shared" si="2"/>
        <v>#DIV/0!</v>
      </c>
    </row>
    <row r="17" spans="1:99">
      <c r="A17" s="53" t="str">
        <f>IF( ISBLANK(beam_frmt_noFPM!A51), "", beam_frmt_noFPM!A51)</f>
        <v/>
      </c>
      <c r="B17" s="54">
        <f>IF( ISBLANK(beam_frmt_noFPM!B51), "", beam_frmt_noFPM!B51)</f>
        <v>0.67030000000000001</v>
      </c>
      <c r="C17" s="54">
        <f>IF( ISBLANK(beam_frmt_noFPM!C51), "", beam_frmt_noFPM!C51)</f>
        <v>0</v>
      </c>
      <c r="D17" s="54">
        <f>IF( ISBLANK(beam_frmt_noFPM!D51), "", beam_frmt_noFPM!D51)</f>
        <v>0</v>
      </c>
      <c r="E17" s="54">
        <f>IF( ISBLANK(beam_frmt_noFPM!E51), "", beam_frmt_noFPM!E51)</f>
        <v>1.3076441771233613</v>
      </c>
      <c r="F17" s="54">
        <f>IF( ISBLANK(beam_frmt_noFPM!F51), "", beam_frmt_noFPM!F51)</f>
        <v>4.2622114543198423E-3</v>
      </c>
      <c r="G17" s="54">
        <f>IF( ISBLANK(beam_frmt_noFPM!G51), "", beam_frmt_noFPM!G51)</f>
        <v>2.1020960396003724E-3</v>
      </c>
      <c r="H17" s="54">
        <f>IF( ISBLANK(beam_frmt_noFPM!H51), "", beam_frmt_noFPM!H51)</f>
        <v>4.2835491274295488E-5</v>
      </c>
      <c r="I17" s="54">
        <f>IF( ISBLANK(beam_frmt_noFPM!I51), "", beam_frmt_noFPM!I51)</f>
        <v>1.5008838774728842E-3</v>
      </c>
      <c r="J17" s="54">
        <f>IF( ISBLANK(beam_frmt_noFPM!J51), "", beam_frmt_noFPM!J51)</f>
        <v>-1.0745146991591675E-4</v>
      </c>
      <c r="K17" s="55">
        <f>IF( ISBLANK(beam_frmt_noFPM!K51), "", beam_frmt_noFPM!K51)</f>
        <v>26267252.251442503</v>
      </c>
      <c r="L17" s="56">
        <f>IF( ISBLANK(beam_frmt_noFPM!L51), "", beam_frmt_noFPM!L51)</f>
        <v>45424.736334852154</v>
      </c>
      <c r="M17" s="55">
        <f>IF( ISBLANK(beam_frmt_noFPM!M51), "", beam_frmt_noFPM!M51)</f>
        <v>-28477.742454636395</v>
      </c>
      <c r="N17" s="56">
        <f>IF( ISBLANK(beam_frmt_noFPM!N51), "", beam_frmt_noFPM!N51)</f>
        <v>1033.8951933847698</v>
      </c>
      <c r="O17" s="55">
        <f>IF( ISBLANK(beam_frmt_noFPM!O51), "", beam_frmt_noFPM!O51)</f>
        <v>11141.741157778619</v>
      </c>
      <c r="P17" s="56">
        <f>IF( ISBLANK(beam_frmt_noFPM!P51), "", beam_frmt_noFPM!P51)</f>
        <v>-975.4288508640318</v>
      </c>
      <c r="Q17" s="55">
        <f>IF( ISBLANK(beam_frmt_noFPM!Q51), "", beam_frmt_noFPM!Q51)</f>
        <v>573.85648255386729</v>
      </c>
      <c r="R17" s="234">
        <f>IF( ISBLANK(beam_frmt_noFPM!R51), "", beam_frmt_noFPM!R51)</f>
        <v>1067506.5375236974</v>
      </c>
      <c r="S17" s="236">
        <f>IF( ISBLANK(beam_frmt_noFPM!S51), "", beam_frmt_noFPM!S51)</f>
        <v>946058.51916683861</v>
      </c>
      <c r="T17" s="55">
        <f>IF( ISBLANK(beam_frmt_noFPM!T51), "", beam_frmt_noFPM!T51)</f>
        <v>2914.8856744035338</v>
      </c>
      <c r="U17" s="55">
        <f>IF( ISBLANK(beam_frmt_noFPM!U51), "", beam_frmt_noFPM!U51)</f>
        <v>1179.5363361661368</v>
      </c>
      <c r="V17" s="206">
        <f>IF( ISBLANK(beam_frmt_noFPM!V51), "", beam_frmt_noFPM!V51)</f>
        <v>0.67030000000000001</v>
      </c>
      <c r="W17" s="124"/>
      <c r="X17" s="124"/>
      <c r="Y17" s="124"/>
      <c r="Z17" s="124"/>
      <c r="AA17" s="124"/>
      <c r="AB17" s="124"/>
      <c r="AC17" s="124"/>
      <c r="AD17" s="124"/>
      <c r="AE17" s="124"/>
      <c r="AF17" s="100"/>
      <c r="AI17" s="2"/>
      <c r="AJ17">
        <v>0.67030000000000001</v>
      </c>
      <c r="AK17">
        <v>0</v>
      </c>
      <c r="AL17">
        <v>0</v>
      </c>
      <c r="AM17" s="1">
        <v>1.3076620000000001</v>
      </c>
      <c r="AN17">
        <v>4.5240000000000002E-3</v>
      </c>
      <c r="AO17" s="1">
        <v>1.392E-3</v>
      </c>
      <c r="AP17" s="1">
        <v>3.6148130000000002E-5</v>
      </c>
      <c r="AQ17" s="1">
        <v>1.4391339999999999E-3</v>
      </c>
      <c r="AR17" s="1">
        <v>7.536469E-5</v>
      </c>
      <c r="AS17" s="1">
        <v>26267150</v>
      </c>
      <c r="AT17" s="1">
        <v>47727.06</v>
      </c>
      <c r="AU17" s="1">
        <v>-25278.84</v>
      </c>
      <c r="AV17" s="1">
        <v>989.11410000000001</v>
      </c>
      <c r="AW17" s="1">
        <v>11182.11</v>
      </c>
      <c r="AX17" s="1">
        <v>643.30060000000003</v>
      </c>
      <c r="AY17" s="1">
        <v>584.79960000000005</v>
      </c>
      <c r="AZ17" s="235">
        <v>1068182</v>
      </c>
      <c r="BA17" s="237">
        <v>945402.2</v>
      </c>
      <c r="BB17" s="1">
        <v>3190.3090000000002</v>
      </c>
      <c r="BC17" s="1">
        <v>1802.4580000000001</v>
      </c>
      <c r="BD17" s="1">
        <v>0.67030000000000001</v>
      </c>
      <c r="BE17" s="1"/>
      <c r="BF17" s="1"/>
      <c r="BG17" s="1"/>
      <c r="BH17" s="1"/>
      <c r="BI17" s="1"/>
      <c r="BJ17" s="1"/>
      <c r="BK17" s="1"/>
      <c r="BL17" s="1"/>
      <c r="BM17" s="1"/>
      <c r="BN17" s="67"/>
      <c r="BQ17" s="49">
        <f t="shared" si="0"/>
        <v>0</v>
      </c>
      <c r="BR17" s="49">
        <f t="shared" si="0"/>
        <v>0</v>
      </c>
      <c r="BS17" s="49">
        <f t="shared" si="0"/>
        <v>0</v>
      </c>
      <c r="BT17" s="49">
        <f t="shared" si="3"/>
        <v>-1.3629574491544644E-3</v>
      </c>
      <c r="BU17" s="49">
        <f t="shared" si="4"/>
        <v>-2.6178854568015796E-4</v>
      </c>
      <c r="BV17" s="49">
        <f t="shared" si="4"/>
        <v>7.1009603960037236E-4</v>
      </c>
      <c r="BW17" s="49">
        <f t="shared" si="5"/>
        <v>18.499881665512117</v>
      </c>
      <c r="BX17" s="49">
        <f t="shared" si="1"/>
        <v>4.2907663548275794</v>
      </c>
      <c r="BY17" s="49">
        <f t="shared" si="1"/>
        <v>-242.57534916672086</v>
      </c>
      <c r="BZ17" s="49">
        <f t="shared" si="1"/>
        <v>3.8927497845477749E-4</v>
      </c>
      <c r="CA17" s="49">
        <f t="shared" si="1"/>
        <v>-4.8239377517656523</v>
      </c>
      <c r="CB17" s="49">
        <f t="shared" si="1"/>
        <v>12.654466955906182</v>
      </c>
      <c r="CC17" s="49">
        <f t="shared" si="1"/>
        <v>4.5273940978871643</v>
      </c>
      <c r="CD17" s="49">
        <f t="shared" si="1"/>
        <v>-0.36101274465536271</v>
      </c>
      <c r="CE17" s="49">
        <f t="shared" si="1"/>
        <v>-251.62877989916871</v>
      </c>
      <c r="CF17" s="49">
        <f t="shared" si="1"/>
        <v>-1.8712593931549817</v>
      </c>
      <c r="CG17" s="49">
        <f t="shared" si="1"/>
        <v>-6.3234774252200171E-2</v>
      </c>
      <c r="CH17" s="49">
        <f t="shared" si="1"/>
        <v>6.9422217003372436E-2</v>
      </c>
      <c r="CI17" s="49">
        <f t="shared" si="1"/>
        <v>-8.6331238007499067</v>
      </c>
      <c r="CJ17" s="49">
        <f t="shared" si="1"/>
        <v>-34.559566094403486</v>
      </c>
      <c r="CK17" s="49">
        <f t="shared" si="1"/>
        <v>0</v>
      </c>
      <c r="CL17" s="49" t="e">
        <f t="shared" si="1"/>
        <v>#DIV/0!</v>
      </c>
      <c r="CM17" s="49" t="e">
        <f t="shared" si="1"/>
        <v>#DIV/0!</v>
      </c>
      <c r="CN17" s="49" t="e">
        <f t="shared" si="2"/>
        <v>#DIV/0!</v>
      </c>
      <c r="CO17" s="49" t="e">
        <f t="shared" si="2"/>
        <v>#DIV/0!</v>
      </c>
      <c r="CP17" s="49" t="e">
        <f t="shared" si="2"/>
        <v>#DIV/0!</v>
      </c>
      <c r="CQ17" s="49" t="e">
        <f t="shared" si="2"/>
        <v>#DIV/0!</v>
      </c>
      <c r="CR17" s="49" t="e">
        <f t="shared" si="2"/>
        <v>#DIV/0!</v>
      </c>
      <c r="CS17" s="49" t="e">
        <f t="shared" si="2"/>
        <v>#DIV/0!</v>
      </c>
      <c r="CT17" s="49" t="e">
        <f t="shared" si="2"/>
        <v>#DIV/0!</v>
      </c>
      <c r="CU17" s="49" t="e">
        <f t="shared" si="2"/>
        <v>#DIV/0!</v>
      </c>
    </row>
    <row r="18" spans="1:99">
      <c r="A18" s="53">
        <f>IF( ISBLANK(beam_frmt_noFPM!A52), "", beam_frmt_noFPM!A52)</f>
        <v>8</v>
      </c>
      <c r="B18" s="54">
        <f>IF( ISBLANK(beam_frmt_noFPM!B52), "", beam_frmt_noFPM!B52)</f>
        <v>0.67030000000000001</v>
      </c>
      <c r="C18" s="54">
        <f>IF( ISBLANK(beam_frmt_noFPM!C52), "", beam_frmt_noFPM!C52)</f>
        <v>0</v>
      </c>
      <c r="D18" s="54">
        <f>IF( ISBLANK(beam_frmt_noFPM!D52), "", beam_frmt_noFPM!D52)</f>
        <v>0</v>
      </c>
      <c r="E18" s="54">
        <f>IF( ISBLANK(beam_frmt_noFPM!E52), "", beam_frmt_noFPM!E52)</f>
        <v>1.3076441771233613</v>
      </c>
      <c r="F18" s="54">
        <f>IF( ISBLANK(beam_frmt_noFPM!F52), "", beam_frmt_noFPM!F52)</f>
        <v>4.2622114543198423E-3</v>
      </c>
      <c r="G18" s="54">
        <f>IF( ISBLANK(beam_frmt_noFPM!G52), "", beam_frmt_noFPM!G52)</f>
        <v>2.1020960396003724E-3</v>
      </c>
      <c r="H18" s="54">
        <f>IF( ISBLANK(beam_frmt_noFPM!H52), "", beam_frmt_noFPM!H52)</f>
        <v>4.2835491274295488E-5</v>
      </c>
      <c r="I18" s="54">
        <f>IF( ISBLANK(beam_frmt_noFPM!I52), "", beam_frmt_noFPM!I52)</f>
        <v>1.5008838774728842E-3</v>
      </c>
      <c r="J18" s="54">
        <f>IF( ISBLANK(beam_frmt_noFPM!J52), "", beam_frmt_noFPM!J52)</f>
        <v>-1.0745146991591675E-4</v>
      </c>
      <c r="K18" s="55">
        <f>IF( ISBLANK(beam_frmt_noFPM!K52), "", beam_frmt_noFPM!K52)</f>
        <v>26267252.251442503</v>
      </c>
      <c r="L18" s="56">
        <f>IF( ISBLANK(beam_frmt_noFPM!L52), "", beam_frmt_noFPM!L52)</f>
        <v>45424.736334852154</v>
      </c>
      <c r="M18" s="55">
        <f>IF( ISBLANK(beam_frmt_noFPM!M52), "", beam_frmt_noFPM!M52)</f>
        <v>-28477.742454636395</v>
      </c>
      <c r="N18" s="56">
        <f>IF( ISBLANK(beam_frmt_noFPM!N52), "", beam_frmt_noFPM!N52)</f>
        <v>1033.8951933847698</v>
      </c>
      <c r="O18" s="55">
        <f>IF( ISBLANK(beam_frmt_noFPM!O52), "", beam_frmt_noFPM!O52)</f>
        <v>11141.741157778619</v>
      </c>
      <c r="P18" s="56">
        <f>IF( ISBLANK(beam_frmt_noFPM!P52), "", beam_frmt_noFPM!P52)</f>
        <v>-975.4288508640318</v>
      </c>
      <c r="Q18" s="55">
        <f>IF( ISBLANK(beam_frmt_noFPM!Q52), "", beam_frmt_noFPM!Q52)</f>
        <v>573.85648255386729</v>
      </c>
      <c r="R18" s="234">
        <f>IF( ISBLANK(beam_frmt_noFPM!R52), "", beam_frmt_noFPM!R52)</f>
        <v>1067506.5375236974</v>
      </c>
      <c r="S18" s="236">
        <f>IF( ISBLANK(beam_frmt_noFPM!S52), "", beam_frmt_noFPM!S52)</f>
        <v>946058.51916683861</v>
      </c>
      <c r="T18" s="55">
        <f>IF( ISBLANK(beam_frmt_noFPM!T52), "", beam_frmt_noFPM!T52)</f>
        <v>2914.8856744035338</v>
      </c>
      <c r="U18" s="55">
        <f>IF( ISBLANK(beam_frmt_noFPM!U52), "", beam_frmt_noFPM!U52)</f>
        <v>1179.5363361661368</v>
      </c>
      <c r="V18" s="206">
        <f>IF( ISBLANK(beam_frmt_noFPM!V52), "", beam_frmt_noFPM!V52)</f>
        <v>0.67030000000000001</v>
      </c>
      <c r="W18" s="124"/>
      <c r="X18" s="124"/>
      <c r="Y18" s="124"/>
      <c r="Z18" s="124"/>
      <c r="AA18" s="124"/>
      <c r="AB18" s="124"/>
      <c r="AC18" s="124"/>
      <c r="AD18" s="124"/>
      <c r="AE18" s="124"/>
      <c r="AF18" s="100"/>
      <c r="AI18" s="2">
        <v>8</v>
      </c>
      <c r="AJ18">
        <v>0.67030000000000001</v>
      </c>
      <c r="AK18">
        <v>0</v>
      </c>
      <c r="AL18">
        <v>0</v>
      </c>
      <c r="AM18" s="1">
        <v>1.3076620000000001</v>
      </c>
      <c r="AN18" s="1">
        <v>4.5240000000000002E-3</v>
      </c>
      <c r="AO18" s="1">
        <v>1.392E-3</v>
      </c>
      <c r="AP18" s="1">
        <v>3.6148130000000002E-5</v>
      </c>
      <c r="AQ18" s="1">
        <v>1.4391339999999999E-3</v>
      </c>
      <c r="AR18" s="1">
        <v>7.536469E-5</v>
      </c>
      <c r="AS18" s="1">
        <v>26267150</v>
      </c>
      <c r="AT18" s="1">
        <v>47727.06</v>
      </c>
      <c r="AU18" s="1">
        <v>-25278.84</v>
      </c>
      <c r="AV18" s="1">
        <v>989.11410000000001</v>
      </c>
      <c r="AW18" s="1">
        <v>11182.11</v>
      </c>
      <c r="AX18" s="1">
        <v>643.30060000000003</v>
      </c>
      <c r="AY18" s="1">
        <v>584.79960000000005</v>
      </c>
      <c r="AZ18" s="235">
        <v>1068182</v>
      </c>
      <c r="BA18" s="237">
        <v>945402.2</v>
      </c>
      <c r="BB18" s="1">
        <v>3190.3090000000002</v>
      </c>
      <c r="BC18" s="1">
        <v>1802.4580000000001</v>
      </c>
      <c r="BD18" s="1">
        <v>0.67030000000000001</v>
      </c>
      <c r="BE18" s="1"/>
      <c r="BF18" s="1"/>
      <c r="BG18" s="1"/>
      <c r="BH18" s="1"/>
      <c r="BI18" s="1"/>
      <c r="BJ18" s="1"/>
      <c r="BK18" s="1"/>
      <c r="BL18" s="1"/>
      <c r="BM18" s="1"/>
      <c r="BN18" s="67"/>
      <c r="BQ18" s="49">
        <f t="shared" si="0"/>
        <v>0</v>
      </c>
      <c r="BR18" s="49">
        <f t="shared" si="0"/>
        <v>0</v>
      </c>
      <c r="BS18" s="49">
        <f t="shared" si="0"/>
        <v>0</v>
      </c>
      <c r="BT18" s="49">
        <f t="shared" si="3"/>
        <v>-1.3629574491544644E-3</v>
      </c>
      <c r="BU18" s="49">
        <f t="shared" si="4"/>
        <v>-2.6178854568015796E-4</v>
      </c>
      <c r="BV18" s="49">
        <f t="shared" si="4"/>
        <v>7.1009603960037236E-4</v>
      </c>
      <c r="BW18" s="49">
        <f t="shared" si="5"/>
        <v>18.499881665512117</v>
      </c>
      <c r="BX18" s="49">
        <f t="shared" si="1"/>
        <v>4.2907663548275794</v>
      </c>
      <c r="BY18" s="49">
        <f t="shared" si="1"/>
        <v>-242.57534916672086</v>
      </c>
      <c r="BZ18" s="49">
        <f t="shared" si="1"/>
        <v>3.8927497845477749E-4</v>
      </c>
      <c r="CA18" s="49">
        <f t="shared" si="1"/>
        <v>-4.8239377517656523</v>
      </c>
      <c r="CB18" s="49">
        <f t="shared" si="1"/>
        <v>12.654466955906182</v>
      </c>
      <c r="CC18" s="49">
        <f t="shared" si="1"/>
        <v>4.5273940978871643</v>
      </c>
      <c r="CD18" s="49">
        <f t="shared" si="1"/>
        <v>-0.36101274465536271</v>
      </c>
      <c r="CE18" s="49">
        <f t="shared" si="1"/>
        <v>-251.62877989916871</v>
      </c>
      <c r="CF18" s="49">
        <f t="shared" si="1"/>
        <v>-1.8712593931549817</v>
      </c>
      <c r="CG18" s="49">
        <f t="shared" si="1"/>
        <v>-6.3234774252200171E-2</v>
      </c>
      <c r="CH18" s="49">
        <f t="shared" si="1"/>
        <v>6.9422217003372436E-2</v>
      </c>
      <c r="CI18" s="49">
        <f t="shared" si="1"/>
        <v>-8.6331238007499067</v>
      </c>
      <c r="CJ18" s="49">
        <f t="shared" si="1"/>
        <v>-34.559566094403486</v>
      </c>
      <c r="CK18" s="49">
        <f t="shared" si="1"/>
        <v>0</v>
      </c>
      <c r="CL18" s="49" t="e">
        <f t="shared" si="1"/>
        <v>#DIV/0!</v>
      </c>
      <c r="CM18" s="49" t="e">
        <f t="shared" si="1"/>
        <v>#DIV/0!</v>
      </c>
      <c r="CN18" s="49" t="e">
        <f t="shared" si="2"/>
        <v>#DIV/0!</v>
      </c>
      <c r="CO18" s="49" t="e">
        <f t="shared" si="2"/>
        <v>#DIV/0!</v>
      </c>
      <c r="CP18" s="49" t="e">
        <f t="shared" si="2"/>
        <v>#DIV/0!</v>
      </c>
      <c r="CQ18" s="49" t="e">
        <f t="shared" si="2"/>
        <v>#DIV/0!</v>
      </c>
      <c r="CR18" s="49" t="e">
        <f t="shared" si="2"/>
        <v>#DIV/0!</v>
      </c>
      <c r="CS18" s="49" t="e">
        <f t="shared" si="2"/>
        <v>#DIV/0!</v>
      </c>
      <c r="CT18" s="49" t="e">
        <f t="shared" si="2"/>
        <v>#DIV/0!</v>
      </c>
      <c r="CU18" s="49" t="e">
        <f t="shared" si="2"/>
        <v>#DIV/0!</v>
      </c>
    </row>
    <row r="19" spans="1:99">
      <c r="A19" s="53" t="str">
        <f>IF( ISBLANK(beam_frmt_noFPM!A53), "", beam_frmt_noFPM!A53)</f>
        <v/>
      </c>
      <c r="B19" s="54">
        <f>IF( ISBLANK(beam_frmt_noFPM!B53), "", beam_frmt_noFPM!B53)</f>
        <v>0.75419999999999998</v>
      </c>
      <c r="C19" s="54">
        <f>IF( ISBLANK(beam_frmt_noFPM!C53), "", beam_frmt_noFPM!C53)</f>
        <v>0</v>
      </c>
      <c r="D19" s="54">
        <f>IF( ISBLANK(beam_frmt_noFPM!D53), "", beam_frmt_noFPM!D53)</f>
        <v>0</v>
      </c>
      <c r="E19" s="54">
        <f>IF( ISBLANK(beam_frmt_noFPM!E53), "", beam_frmt_noFPM!E53)</f>
        <v>1.3926759075576065</v>
      </c>
      <c r="F19" s="54">
        <f>IF( ISBLANK(beam_frmt_noFPM!F53), "", beam_frmt_noFPM!F53)</f>
        <v>-1.2148883248137374E-3</v>
      </c>
      <c r="G19" s="54">
        <f>IF( ISBLANK(beam_frmt_noFPM!G53), "", beam_frmt_noFPM!G53)</f>
        <v>1.3253782627297428E-3</v>
      </c>
      <c r="H19" s="54">
        <f>IF( ISBLANK(beam_frmt_noFPM!H53), "", beam_frmt_noFPM!H53)</f>
        <v>4.0481293298776685E-5</v>
      </c>
      <c r="I19" s="54">
        <f>IF( ISBLANK(beam_frmt_noFPM!I53), "", beam_frmt_noFPM!I53)</f>
        <v>1.4985742546535779E-3</v>
      </c>
      <c r="J19" s="54">
        <f>IF( ISBLANK(beam_frmt_noFPM!J53), "", beam_frmt_noFPM!J53)</f>
        <v>-1.1858022349807841E-4</v>
      </c>
      <c r="K19" s="55">
        <f>IF( ISBLANK(beam_frmt_noFPM!K53), "", beam_frmt_noFPM!K53)</f>
        <v>24392303.838737138</v>
      </c>
      <c r="L19" s="56">
        <f>IF( ISBLANK(beam_frmt_noFPM!L53), "", beam_frmt_noFPM!L53)</f>
        <v>48326.032365306011</v>
      </c>
      <c r="M19" s="55">
        <f>IF( ISBLANK(beam_frmt_noFPM!M53), "", beam_frmt_noFPM!M53)</f>
        <v>-25706.208958090385</v>
      </c>
      <c r="N19" s="56">
        <f>IF( ISBLANK(beam_frmt_noFPM!N53), "", beam_frmt_noFPM!N53)</f>
        <v>1039.1690894244634</v>
      </c>
      <c r="O19" s="55">
        <f>IF( ISBLANK(beam_frmt_noFPM!O53), "", beam_frmt_noFPM!O53)</f>
        <v>10718.948737935931</v>
      </c>
      <c r="P19" s="56">
        <f>IF( ISBLANK(beam_frmt_noFPM!P53), "", beam_frmt_noFPM!P53)</f>
        <v>-794.46921319387002</v>
      </c>
      <c r="Q19" s="55">
        <f>IF( ISBLANK(beam_frmt_noFPM!Q53), "", beam_frmt_noFPM!Q53)</f>
        <v>617.02369251457731</v>
      </c>
      <c r="R19" s="234">
        <f>IF( ISBLANK(beam_frmt_noFPM!R53), "", beam_frmt_noFPM!R53)</f>
        <v>1113378.9634880214</v>
      </c>
      <c r="S19" s="236">
        <f>IF( ISBLANK(beam_frmt_noFPM!S53), "", beam_frmt_noFPM!S53)</f>
        <v>986337.73716530961</v>
      </c>
      <c r="T19" s="55">
        <f>IF( ISBLANK(beam_frmt_noFPM!T53), "", beam_frmt_noFPM!T53)</f>
        <v>3188.7624600173622</v>
      </c>
      <c r="U19" s="55">
        <f>IF( ISBLANK(beam_frmt_noFPM!U53), "", beam_frmt_noFPM!U53)</f>
        <v>936.64884909864577</v>
      </c>
      <c r="V19" s="206">
        <f>IF( ISBLANK(beam_frmt_noFPM!V53), "", beam_frmt_noFPM!V53)</f>
        <v>0.75419999999999998</v>
      </c>
      <c r="W19" s="124"/>
      <c r="X19" s="124"/>
      <c r="Y19" s="124"/>
      <c r="Z19" s="124"/>
      <c r="AA19" s="124"/>
      <c r="AB19" s="124"/>
      <c r="AC19" s="124"/>
      <c r="AD19" s="124"/>
      <c r="AE19" s="124"/>
      <c r="AF19" s="100"/>
      <c r="AI19" s="2"/>
      <c r="AJ19">
        <v>0.75419999999999998</v>
      </c>
      <c r="AK19">
        <v>0</v>
      </c>
      <c r="AL19">
        <v>0</v>
      </c>
      <c r="AM19" s="1">
        <v>1.3926750000000001</v>
      </c>
      <c r="AN19">
        <v>-1.0430000000000001E-3</v>
      </c>
      <c r="AO19" s="1">
        <v>1.464E-3</v>
      </c>
      <c r="AP19" s="1">
        <v>3.4376569999999997E-5</v>
      </c>
      <c r="AQ19" s="1">
        <v>1.5046630000000001E-3</v>
      </c>
      <c r="AR19" s="1">
        <v>6.7729230000000004E-5</v>
      </c>
      <c r="AS19" s="1">
        <v>24392180</v>
      </c>
      <c r="AT19" s="1">
        <v>49798.93</v>
      </c>
      <c r="AU19" s="1">
        <v>-22342.73</v>
      </c>
      <c r="AV19" s="1">
        <v>1010.779</v>
      </c>
      <c r="AW19" s="1">
        <v>10745.03</v>
      </c>
      <c r="AX19" s="1">
        <v>518.60450000000003</v>
      </c>
      <c r="AY19" s="1">
        <v>628.57910000000004</v>
      </c>
      <c r="AZ19" s="235">
        <v>1113873</v>
      </c>
      <c r="BA19" s="237">
        <v>985841.8</v>
      </c>
      <c r="BB19" s="1">
        <v>3578.194</v>
      </c>
      <c r="BC19" s="1">
        <v>1410.9480000000001</v>
      </c>
      <c r="BD19" s="1">
        <v>0.75419999999999998</v>
      </c>
      <c r="BE19" s="1"/>
      <c r="BF19" s="1"/>
      <c r="BG19" s="1"/>
      <c r="BH19" s="1"/>
      <c r="BI19" s="1"/>
      <c r="BJ19" s="1"/>
      <c r="BK19" s="1"/>
      <c r="BL19" s="1"/>
      <c r="BM19" s="1"/>
      <c r="BN19" s="67"/>
      <c r="BQ19" s="49">
        <f t="shared" si="0"/>
        <v>0</v>
      </c>
      <c r="BR19" s="49">
        <f t="shared" si="0"/>
        <v>0</v>
      </c>
      <c r="BS19" s="49">
        <f t="shared" si="0"/>
        <v>0</v>
      </c>
      <c r="BT19" s="49">
        <f t="shared" si="3"/>
        <v>6.5166503771514066E-5</v>
      </c>
      <c r="BU19" s="49">
        <f t="shared" si="4"/>
        <v>-1.7188832481373735E-4</v>
      </c>
      <c r="BV19" s="49">
        <f t="shared" si="4"/>
        <v>-1.3862173727025723E-4</v>
      </c>
      <c r="BW19" s="49">
        <f t="shared" si="5"/>
        <v>17.758383977158537</v>
      </c>
      <c r="BX19" s="49">
        <f t="shared" si="1"/>
        <v>-0.40465840832280597</v>
      </c>
      <c r="BY19" s="49">
        <f t="shared" si="1"/>
        <v>-275.07983406585072</v>
      </c>
      <c r="BZ19" s="49">
        <f t="shared" si="1"/>
        <v>5.0769852115561498E-4</v>
      </c>
      <c r="CA19" s="49">
        <f t="shared" si="1"/>
        <v>-2.9576893212243496</v>
      </c>
      <c r="CB19" s="49">
        <f t="shared" si="1"/>
        <v>15.054019621104429</v>
      </c>
      <c r="CC19" s="49">
        <f t="shared" si="1"/>
        <v>2.8087336029402508</v>
      </c>
      <c r="CD19" s="49">
        <f t="shared" si="1"/>
        <v>-0.2427286109398481</v>
      </c>
      <c r="CE19" s="49">
        <f t="shared" si="1"/>
        <v>-253.19365975302372</v>
      </c>
      <c r="CF19" s="49">
        <f t="shared" si="1"/>
        <v>-1.8383378456939998</v>
      </c>
      <c r="CG19" s="49">
        <f t="shared" si="1"/>
        <v>-4.4353037732183125E-2</v>
      </c>
      <c r="CH19" s="49">
        <f t="shared" si="1"/>
        <v>5.0305958350473537E-2</v>
      </c>
      <c r="CI19" s="49">
        <f t="shared" si="1"/>
        <v>-10.883466351534819</v>
      </c>
      <c r="CJ19" s="49">
        <f t="shared" si="1"/>
        <v>-33.615636501228558</v>
      </c>
      <c r="CK19" s="49">
        <f t="shared" si="1"/>
        <v>0</v>
      </c>
      <c r="CL19" s="49" t="e">
        <f t="shared" si="1"/>
        <v>#DIV/0!</v>
      </c>
      <c r="CM19" s="49" t="e">
        <f t="shared" ref="CM19:CU43" si="6" xml:space="preserve"> (X19 - BF19)/BF19 * 100</f>
        <v>#DIV/0!</v>
      </c>
      <c r="CN19" s="49" t="e">
        <f t="shared" si="2"/>
        <v>#DIV/0!</v>
      </c>
      <c r="CO19" s="49" t="e">
        <f t="shared" si="2"/>
        <v>#DIV/0!</v>
      </c>
      <c r="CP19" s="49" t="e">
        <f t="shared" si="2"/>
        <v>#DIV/0!</v>
      </c>
      <c r="CQ19" s="49" t="e">
        <f t="shared" si="2"/>
        <v>#DIV/0!</v>
      </c>
      <c r="CR19" s="49" t="e">
        <f t="shared" si="2"/>
        <v>#DIV/0!</v>
      </c>
      <c r="CS19" s="49" t="e">
        <f t="shared" si="2"/>
        <v>#DIV/0!</v>
      </c>
      <c r="CT19" s="49" t="e">
        <f t="shared" si="2"/>
        <v>#DIV/0!</v>
      </c>
      <c r="CU19" s="49" t="e">
        <f t="shared" si="2"/>
        <v>#DIV/0!</v>
      </c>
    </row>
    <row r="20" spans="1:99">
      <c r="A20" s="53">
        <f>IF( ISBLANK(beam_frmt_noFPM!A54), "", beam_frmt_noFPM!A54)</f>
        <v>9</v>
      </c>
      <c r="B20" s="54">
        <f>IF( ISBLANK(beam_frmt_noFPM!B54), "", beam_frmt_noFPM!B54)</f>
        <v>0.75419999999999998</v>
      </c>
      <c r="C20" s="54">
        <f>IF( ISBLANK(beam_frmt_noFPM!C54), "", beam_frmt_noFPM!C54)</f>
        <v>0</v>
      </c>
      <c r="D20" s="54">
        <f>IF( ISBLANK(beam_frmt_noFPM!D54), "", beam_frmt_noFPM!D54)</f>
        <v>0</v>
      </c>
      <c r="E20" s="54">
        <f>IF( ISBLANK(beam_frmt_noFPM!E54), "", beam_frmt_noFPM!E54)</f>
        <v>1.3926759075576065</v>
      </c>
      <c r="F20" s="54">
        <f>IF( ISBLANK(beam_frmt_noFPM!F54), "", beam_frmt_noFPM!F54)</f>
        <v>-1.2148883248137374E-3</v>
      </c>
      <c r="G20" s="54">
        <f>IF( ISBLANK(beam_frmt_noFPM!G54), "", beam_frmt_noFPM!G54)</f>
        <v>1.3253782627297428E-3</v>
      </c>
      <c r="H20" s="54">
        <f>IF( ISBLANK(beam_frmt_noFPM!H54), "", beam_frmt_noFPM!H54)</f>
        <v>4.0481293298776685E-5</v>
      </c>
      <c r="I20" s="54">
        <f>IF( ISBLANK(beam_frmt_noFPM!I54), "", beam_frmt_noFPM!I54)</f>
        <v>1.4985742546535779E-3</v>
      </c>
      <c r="J20" s="54">
        <f>IF( ISBLANK(beam_frmt_noFPM!J54), "", beam_frmt_noFPM!J54)</f>
        <v>-1.1858022349807841E-4</v>
      </c>
      <c r="K20" s="55">
        <f>IF( ISBLANK(beam_frmt_noFPM!K54), "", beam_frmt_noFPM!K54)</f>
        <v>24392303.838737138</v>
      </c>
      <c r="L20" s="56">
        <f>IF( ISBLANK(beam_frmt_noFPM!L54), "", beam_frmt_noFPM!L54)</f>
        <v>48326.032365306011</v>
      </c>
      <c r="M20" s="55">
        <f>IF( ISBLANK(beam_frmt_noFPM!M54), "", beam_frmt_noFPM!M54)</f>
        <v>-25706.208958090385</v>
      </c>
      <c r="N20" s="56">
        <f>IF( ISBLANK(beam_frmt_noFPM!N54), "", beam_frmt_noFPM!N54)</f>
        <v>1039.1690894244634</v>
      </c>
      <c r="O20" s="55">
        <f>IF( ISBLANK(beam_frmt_noFPM!O54), "", beam_frmt_noFPM!O54)</f>
        <v>10718.948737935931</v>
      </c>
      <c r="P20" s="56">
        <f>IF( ISBLANK(beam_frmt_noFPM!P54), "", beam_frmt_noFPM!P54)</f>
        <v>-794.46921319387002</v>
      </c>
      <c r="Q20" s="55">
        <f>IF( ISBLANK(beam_frmt_noFPM!Q54), "", beam_frmt_noFPM!Q54)</f>
        <v>617.02369251457731</v>
      </c>
      <c r="R20" s="234">
        <f>IF( ISBLANK(beam_frmt_noFPM!R54), "", beam_frmt_noFPM!R54)</f>
        <v>1113378.9634880214</v>
      </c>
      <c r="S20" s="236">
        <f>IF( ISBLANK(beam_frmt_noFPM!S54), "", beam_frmt_noFPM!S54)</f>
        <v>986337.73716530961</v>
      </c>
      <c r="T20" s="55">
        <f>IF( ISBLANK(beam_frmt_noFPM!T54), "", beam_frmt_noFPM!T54)</f>
        <v>3188.7624600173622</v>
      </c>
      <c r="U20" s="55">
        <f>IF( ISBLANK(beam_frmt_noFPM!U54), "", beam_frmt_noFPM!U54)</f>
        <v>936.64884909864577</v>
      </c>
      <c r="V20" s="206">
        <f>IF( ISBLANK(beam_frmt_noFPM!V54), "", beam_frmt_noFPM!V54)</f>
        <v>0.75419999999999998</v>
      </c>
      <c r="W20" s="124"/>
      <c r="X20" s="124"/>
      <c r="Y20" s="124"/>
      <c r="Z20" s="124"/>
      <c r="AA20" s="124"/>
      <c r="AB20" s="124"/>
      <c r="AC20" s="124"/>
      <c r="AD20" s="124"/>
      <c r="AE20" s="124"/>
      <c r="AF20" s="100"/>
      <c r="AI20" s="2">
        <v>9</v>
      </c>
      <c r="AJ20">
        <v>0.75419999999999998</v>
      </c>
      <c r="AK20">
        <v>0</v>
      </c>
      <c r="AL20">
        <v>0</v>
      </c>
      <c r="AM20" s="1">
        <v>1.3926750000000001</v>
      </c>
      <c r="AN20" s="1">
        <v>-1.0430000000000001E-3</v>
      </c>
      <c r="AO20" s="1">
        <v>1.464E-3</v>
      </c>
      <c r="AP20" s="1">
        <v>3.4376569999999997E-5</v>
      </c>
      <c r="AQ20" s="1">
        <v>1.5046630000000001E-3</v>
      </c>
      <c r="AR20" s="1">
        <v>6.7729230000000004E-5</v>
      </c>
      <c r="AS20" s="1">
        <v>24392180</v>
      </c>
      <c r="AT20" s="1">
        <v>49798.93</v>
      </c>
      <c r="AU20" s="1">
        <v>-22342.73</v>
      </c>
      <c r="AV20" s="1">
        <v>1010.779</v>
      </c>
      <c r="AW20" s="1">
        <v>10745.03</v>
      </c>
      <c r="AX20" s="1">
        <v>518.60450000000003</v>
      </c>
      <c r="AY20" s="1">
        <v>628.57910000000004</v>
      </c>
      <c r="AZ20" s="235">
        <v>1113873</v>
      </c>
      <c r="BA20" s="237">
        <v>985841.8</v>
      </c>
      <c r="BB20" s="1">
        <v>3578.194</v>
      </c>
      <c r="BC20" s="1">
        <v>1410.9480000000001</v>
      </c>
      <c r="BD20" s="1">
        <v>0.75419999999999998</v>
      </c>
      <c r="BE20" s="1"/>
      <c r="BF20" s="1"/>
      <c r="BG20" s="1"/>
      <c r="BH20" s="1"/>
      <c r="BI20" s="1"/>
      <c r="BJ20" s="1"/>
      <c r="BK20" s="1"/>
      <c r="BL20" s="1"/>
      <c r="BM20" s="1"/>
      <c r="BN20" s="67"/>
      <c r="BQ20" s="49">
        <f t="shared" ref="BQ20:BS43" si="7">B20 - AJ20</f>
        <v>0</v>
      </c>
      <c r="BR20" s="49">
        <f t="shared" si="7"/>
        <v>0</v>
      </c>
      <c r="BS20" s="49">
        <f t="shared" si="7"/>
        <v>0</v>
      </c>
      <c r="BT20" s="49">
        <f t="shared" si="3"/>
        <v>6.5166503771514066E-5</v>
      </c>
      <c r="BU20" s="49">
        <f t="shared" si="4"/>
        <v>-1.7188832481373735E-4</v>
      </c>
      <c r="BV20" s="49">
        <f t="shared" si="4"/>
        <v>-1.3862173727025723E-4</v>
      </c>
      <c r="BW20" s="49">
        <f t="shared" si="5"/>
        <v>17.758383977158537</v>
      </c>
      <c r="BX20" s="49">
        <f t="shared" si="5"/>
        <v>-0.40465840832280597</v>
      </c>
      <c r="BY20" s="49">
        <f t="shared" si="5"/>
        <v>-275.07983406585072</v>
      </c>
      <c r="BZ20" s="49">
        <f t="shared" si="5"/>
        <v>5.0769852115561498E-4</v>
      </c>
      <c r="CA20" s="49">
        <f t="shared" si="5"/>
        <v>-2.9576893212243496</v>
      </c>
      <c r="CB20" s="49">
        <f t="shared" si="5"/>
        <v>15.054019621104429</v>
      </c>
      <c r="CC20" s="49">
        <f t="shared" si="5"/>
        <v>2.8087336029402508</v>
      </c>
      <c r="CD20" s="49">
        <f t="shared" si="5"/>
        <v>-0.2427286109398481</v>
      </c>
      <c r="CE20" s="49">
        <f t="shared" si="5"/>
        <v>-253.19365975302372</v>
      </c>
      <c r="CF20" s="49">
        <f t="shared" si="5"/>
        <v>-1.8383378456939998</v>
      </c>
      <c r="CG20" s="49">
        <f t="shared" si="5"/>
        <v>-4.4353037732183125E-2</v>
      </c>
      <c r="CH20" s="49">
        <f t="shared" si="5"/>
        <v>5.0305958350473537E-2</v>
      </c>
      <c r="CI20" s="49">
        <f t="shared" si="5"/>
        <v>-10.883466351534819</v>
      </c>
      <c r="CJ20" s="49">
        <f t="shared" si="5"/>
        <v>-33.615636501228558</v>
      </c>
      <c r="CK20" s="49">
        <f t="shared" si="5"/>
        <v>0</v>
      </c>
      <c r="CL20" s="49" t="e">
        <f t="shared" si="5"/>
        <v>#DIV/0!</v>
      </c>
      <c r="CM20" s="49" t="e">
        <f t="shared" si="6"/>
        <v>#DIV/0!</v>
      </c>
      <c r="CN20" s="49" t="e">
        <f t="shared" si="6"/>
        <v>#DIV/0!</v>
      </c>
      <c r="CO20" s="49" t="e">
        <f t="shared" si="6"/>
        <v>#DIV/0!</v>
      </c>
      <c r="CP20" s="49" t="e">
        <f t="shared" si="6"/>
        <v>#DIV/0!</v>
      </c>
      <c r="CQ20" s="49" t="e">
        <f t="shared" si="6"/>
        <v>#DIV/0!</v>
      </c>
      <c r="CR20" s="49" t="e">
        <f t="shared" si="6"/>
        <v>#DIV/0!</v>
      </c>
      <c r="CS20" s="49" t="e">
        <f t="shared" si="6"/>
        <v>#DIV/0!</v>
      </c>
      <c r="CT20" s="49" t="e">
        <f t="shared" si="6"/>
        <v>#DIV/0!</v>
      </c>
      <c r="CU20" s="49" t="e">
        <f t="shared" si="6"/>
        <v>#DIV/0!</v>
      </c>
    </row>
    <row r="21" spans="1:99">
      <c r="A21" s="53" t="str">
        <f>IF( ISBLANK(beam_frmt_noFPM!A55), "", beam_frmt_noFPM!A55)</f>
        <v/>
      </c>
      <c r="B21" s="54">
        <f>IF( ISBLANK(beam_frmt_noFPM!B55), "", beam_frmt_noFPM!B55)</f>
        <v>0.83819999999999995</v>
      </c>
      <c r="C21" s="54">
        <f>IF( ISBLANK(beam_frmt_noFPM!C55), "", beam_frmt_noFPM!C55)</f>
        <v>0</v>
      </c>
      <c r="D21" s="54">
        <f>IF( ISBLANK(beam_frmt_noFPM!D55), "", beam_frmt_noFPM!D55)</f>
        <v>0</v>
      </c>
      <c r="E21" s="54">
        <f>IF( ISBLANK(beam_frmt_noFPM!E55), "", beam_frmt_noFPM!E55)</f>
        <v>1.4121669401241688</v>
      </c>
      <c r="F21" s="54">
        <f>IF( ISBLANK(beam_frmt_noFPM!F55), "", beam_frmt_noFPM!F55)</f>
        <v>-1.3621614988820517E-3</v>
      </c>
      <c r="G21" s="54">
        <f>IF( ISBLANK(beam_frmt_noFPM!G55), "", beam_frmt_noFPM!G55)</f>
        <v>1.4388538960367063E-3</v>
      </c>
      <c r="H21" s="54">
        <f>IF( ISBLANK(beam_frmt_noFPM!H55), "", beam_frmt_noFPM!H55)</f>
        <v>3.6726072873893471E-5</v>
      </c>
      <c r="I21" s="54">
        <f>IF( ISBLANK(beam_frmt_noFPM!I55), "", beam_frmt_noFPM!I55)</f>
        <v>1.5357401356254634E-3</v>
      </c>
      <c r="J21" s="54">
        <f>IF( ISBLANK(beam_frmt_noFPM!J55), "", beam_frmt_noFPM!J55)</f>
        <v>-9.7557842655720091E-5</v>
      </c>
      <c r="K21" s="55">
        <f>IF( ISBLANK(beam_frmt_noFPM!K55), "", beam_frmt_noFPM!K55)</f>
        <v>22470177.80752987</v>
      </c>
      <c r="L21" s="56">
        <f>IF( ISBLANK(beam_frmt_noFPM!L55), "", beam_frmt_noFPM!L55)</f>
        <v>45483.375883877699</v>
      </c>
      <c r="M21" s="55">
        <f>IF( ISBLANK(beam_frmt_noFPM!M55), "", beam_frmt_noFPM!M55)</f>
        <v>1133.4444205416148</v>
      </c>
      <c r="N21" s="56">
        <f>IF( ISBLANK(beam_frmt_noFPM!N55), "", beam_frmt_noFPM!N55)</f>
        <v>846.87574484311119</v>
      </c>
      <c r="O21" s="55">
        <f>IF( ISBLANK(beam_frmt_noFPM!O55), "", beam_frmt_noFPM!O55)</f>
        <v>9768.4683100218954</v>
      </c>
      <c r="P21" s="56">
        <f>IF( ISBLANK(beam_frmt_noFPM!P55), "", beam_frmt_noFPM!P55)</f>
        <v>-538.02744464820273</v>
      </c>
      <c r="Q21" s="55">
        <f>IF( ISBLANK(beam_frmt_noFPM!Q55), "", beam_frmt_noFPM!Q55)</f>
        <v>532.60758798412144</v>
      </c>
      <c r="R21" s="234">
        <f>IF( ISBLANK(beam_frmt_noFPM!R55), "", beam_frmt_noFPM!R55)</f>
        <v>976219.02452924277</v>
      </c>
      <c r="S21" s="236">
        <f>IF( ISBLANK(beam_frmt_noFPM!S55), "", beam_frmt_noFPM!S55)</f>
        <v>864569.38225356396</v>
      </c>
      <c r="T21" s="55">
        <f>IF( ISBLANK(beam_frmt_noFPM!T55), "", beam_frmt_noFPM!T55)</f>
        <v>2795.1290916281109</v>
      </c>
      <c r="U21" s="55">
        <f>IF( ISBLANK(beam_frmt_noFPM!U55), "", beam_frmt_noFPM!U55)</f>
        <v>1253.5947577136394</v>
      </c>
      <c r="V21" s="206">
        <f>IF( ISBLANK(beam_frmt_noFPM!V55), "", beam_frmt_noFPM!V55)</f>
        <v>0.83819999999999995</v>
      </c>
      <c r="W21" s="124"/>
      <c r="X21" s="124"/>
      <c r="Y21" s="124"/>
      <c r="Z21" s="124"/>
      <c r="AA21" s="124"/>
      <c r="AB21" s="124"/>
      <c r="AC21" s="124"/>
      <c r="AD21" s="124"/>
      <c r="AE21" s="124"/>
      <c r="AF21" s="100"/>
      <c r="AI21" s="2"/>
      <c r="AJ21">
        <v>0.83819999999999995</v>
      </c>
      <c r="AK21">
        <v>0</v>
      </c>
      <c r="AL21">
        <v>0</v>
      </c>
      <c r="AM21" s="1">
        <v>1.4121969999999999</v>
      </c>
      <c r="AN21">
        <v>-1.214E-3</v>
      </c>
      <c r="AO21" s="1">
        <v>1.5659999999999999E-3</v>
      </c>
      <c r="AP21" s="1">
        <v>3.2676950000000002E-5</v>
      </c>
      <c r="AQ21" s="1">
        <v>1.539758E-3</v>
      </c>
      <c r="AR21" s="1">
        <v>5.6791259999999997E-5</v>
      </c>
      <c r="AS21" s="1">
        <v>22469620</v>
      </c>
      <c r="AT21" s="1">
        <v>45372.57</v>
      </c>
      <c r="AU21" s="1">
        <v>4683.4290000000001</v>
      </c>
      <c r="AV21" s="1">
        <v>826.57590000000005</v>
      </c>
      <c r="AW21" s="1">
        <v>9748.3269999999993</v>
      </c>
      <c r="AX21" s="1">
        <v>347.07889999999998</v>
      </c>
      <c r="AY21" s="1">
        <v>544.62919999999997</v>
      </c>
      <c r="AZ21" s="235">
        <v>976399.7</v>
      </c>
      <c r="BA21" s="237">
        <v>864169.8</v>
      </c>
      <c r="BB21" s="1">
        <v>3116.3290000000002</v>
      </c>
      <c r="BC21" s="1">
        <v>1967.047</v>
      </c>
      <c r="BD21" s="1">
        <v>0.83819999999999995</v>
      </c>
      <c r="BE21" s="1"/>
      <c r="BF21" s="1"/>
      <c r="BG21" s="1"/>
      <c r="BH21" s="1"/>
      <c r="BI21" s="1"/>
      <c r="BJ21" s="1"/>
      <c r="BK21" s="1"/>
      <c r="BL21" s="1"/>
      <c r="BM21" s="1"/>
      <c r="BN21" s="67"/>
      <c r="BQ21" s="49">
        <f t="shared" si="7"/>
        <v>0</v>
      </c>
      <c r="BR21" s="49">
        <f t="shared" si="7"/>
        <v>0</v>
      </c>
      <c r="BS21" s="49">
        <f t="shared" si="7"/>
        <v>0</v>
      </c>
      <c r="BT21" s="49">
        <f t="shared" si="3"/>
        <v>-2.1285894128904499E-3</v>
      </c>
      <c r="BU21" s="49">
        <f t="shared" si="4"/>
        <v>-1.4816149888205172E-4</v>
      </c>
      <c r="BV21" s="49">
        <f t="shared" si="4"/>
        <v>-1.2714610396329356E-4</v>
      </c>
      <c r="BW21" s="49">
        <f t="shared" si="5"/>
        <v>12.391373350001968</v>
      </c>
      <c r="BX21" s="49">
        <f t="shared" si="5"/>
        <v>-0.26094128912053799</v>
      </c>
      <c r="BY21" s="49">
        <f t="shared" si="5"/>
        <v>-271.78319807611263</v>
      </c>
      <c r="BZ21" s="49">
        <f t="shared" si="5"/>
        <v>2.4824964991415998E-3</v>
      </c>
      <c r="CA21" s="49">
        <f t="shared" si="5"/>
        <v>0.24421337358165887</v>
      </c>
      <c r="CB21" s="49">
        <f t="shared" si="5"/>
        <v>-75.798834133246928</v>
      </c>
      <c r="CC21" s="49">
        <f t="shared" si="5"/>
        <v>2.4558960457365315</v>
      </c>
      <c r="CD21" s="49">
        <f t="shared" si="5"/>
        <v>0.20661299135632258</v>
      </c>
      <c r="CE21" s="49">
        <f t="shared" si="5"/>
        <v>-255.01588965742451</v>
      </c>
      <c r="CF21" s="49">
        <f t="shared" si="5"/>
        <v>-2.2073021453639528</v>
      </c>
      <c r="CG21" s="49">
        <f t="shared" si="5"/>
        <v>-1.850425299774076E-2</v>
      </c>
      <c r="CH21" s="49">
        <f t="shared" si="5"/>
        <v>4.6238858794176364E-2</v>
      </c>
      <c r="CI21" s="49">
        <f t="shared" si="5"/>
        <v>-10.30699609610825</v>
      </c>
      <c r="CJ21" s="49">
        <f t="shared" si="5"/>
        <v>-36.27021836724596</v>
      </c>
      <c r="CK21" s="49">
        <f t="shared" si="5"/>
        <v>0</v>
      </c>
      <c r="CL21" s="49" t="e">
        <f t="shared" si="5"/>
        <v>#DIV/0!</v>
      </c>
      <c r="CM21" s="49" t="e">
        <f t="shared" si="6"/>
        <v>#DIV/0!</v>
      </c>
      <c r="CN21" s="49" t="e">
        <f t="shared" si="6"/>
        <v>#DIV/0!</v>
      </c>
      <c r="CO21" s="49" t="e">
        <f t="shared" si="6"/>
        <v>#DIV/0!</v>
      </c>
      <c r="CP21" s="49" t="e">
        <f t="shared" si="6"/>
        <v>#DIV/0!</v>
      </c>
      <c r="CQ21" s="49" t="e">
        <f t="shared" si="6"/>
        <v>#DIV/0!</v>
      </c>
      <c r="CR21" s="49" t="e">
        <f t="shared" si="6"/>
        <v>#DIV/0!</v>
      </c>
      <c r="CS21" s="49" t="e">
        <f t="shared" si="6"/>
        <v>#DIV/0!</v>
      </c>
      <c r="CT21" s="49" t="e">
        <f t="shared" si="6"/>
        <v>#DIV/0!</v>
      </c>
      <c r="CU21" s="49" t="e">
        <f t="shared" si="6"/>
        <v>#DIV/0!</v>
      </c>
    </row>
    <row r="22" spans="1:99">
      <c r="A22" s="53">
        <f>IF( ISBLANK(beam_frmt_noFPM!A56), "", beam_frmt_noFPM!A56)</f>
        <v>10</v>
      </c>
      <c r="B22" s="54">
        <f>IF( ISBLANK(beam_frmt_noFPM!B56), "", beam_frmt_noFPM!B56)</f>
        <v>0.83819999999999995</v>
      </c>
      <c r="C22" s="54">
        <f>IF( ISBLANK(beam_frmt_noFPM!C56), "", beam_frmt_noFPM!C56)</f>
        <v>0</v>
      </c>
      <c r="D22" s="54">
        <f>IF( ISBLANK(beam_frmt_noFPM!D56), "", beam_frmt_noFPM!D56)</f>
        <v>0</v>
      </c>
      <c r="E22" s="54">
        <f>IF( ISBLANK(beam_frmt_noFPM!E56), "", beam_frmt_noFPM!E56)</f>
        <v>1.4121669401241688</v>
      </c>
      <c r="F22" s="54">
        <f>IF( ISBLANK(beam_frmt_noFPM!F56), "", beam_frmt_noFPM!F56)</f>
        <v>-1.3621614988820517E-3</v>
      </c>
      <c r="G22" s="54">
        <f>IF( ISBLANK(beam_frmt_noFPM!G56), "", beam_frmt_noFPM!G56)</f>
        <v>1.4388538960367063E-3</v>
      </c>
      <c r="H22" s="54">
        <f>IF( ISBLANK(beam_frmt_noFPM!H56), "", beam_frmt_noFPM!H56)</f>
        <v>3.6726072873893471E-5</v>
      </c>
      <c r="I22" s="54">
        <f>IF( ISBLANK(beam_frmt_noFPM!I56), "", beam_frmt_noFPM!I56)</f>
        <v>1.5357401356254634E-3</v>
      </c>
      <c r="J22" s="54">
        <f>IF( ISBLANK(beam_frmt_noFPM!J56), "", beam_frmt_noFPM!J56)</f>
        <v>-9.7557842655720091E-5</v>
      </c>
      <c r="K22" s="55">
        <f>IF( ISBLANK(beam_frmt_noFPM!K56), "", beam_frmt_noFPM!K56)</f>
        <v>22470177.80752987</v>
      </c>
      <c r="L22" s="56">
        <f>IF( ISBLANK(beam_frmt_noFPM!L56), "", beam_frmt_noFPM!L56)</f>
        <v>45483.375883877699</v>
      </c>
      <c r="M22" s="55">
        <f>IF( ISBLANK(beam_frmt_noFPM!M56), "", beam_frmt_noFPM!M56)</f>
        <v>1133.4444205416148</v>
      </c>
      <c r="N22" s="56">
        <f>IF( ISBLANK(beam_frmt_noFPM!N56), "", beam_frmt_noFPM!N56)</f>
        <v>846.87574484311119</v>
      </c>
      <c r="O22" s="55">
        <f>IF( ISBLANK(beam_frmt_noFPM!O56), "", beam_frmt_noFPM!O56)</f>
        <v>9768.4683100218954</v>
      </c>
      <c r="P22" s="56">
        <f>IF( ISBLANK(beam_frmt_noFPM!P56), "", beam_frmt_noFPM!P56)</f>
        <v>-538.02744464820273</v>
      </c>
      <c r="Q22" s="55">
        <f>IF( ISBLANK(beam_frmt_noFPM!Q56), "", beam_frmt_noFPM!Q56)</f>
        <v>532.60758798412144</v>
      </c>
      <c r="R22" s="234">
        <f>IF( ISBLANK(beam_frmt_noFPM!R56), "", beam_frmt_noFPM!R56)</f>
        <v>976219.02452924277</v>
      </c>
      <c r="S22" s="236">
        <f>IF( ISBLANK(beam_frmt_noFPM!S56), "", beam_frmt_noFPM!S56)</f>
        <v>864569.38225356396</v>
      </c>
      <c r="T22" s="55">
        <f>IF( ISBLANK(beam_frmt_noFPM!T56), "", beam_frmt_noFPM!T56)</f>
        <v>2795.1290916281109</v>
      </c>
      <c r="U22" s="55">
        <f>IF( ISBLANK(beam_frmt_noFPM!U56), "", beam_frmt_noFPM!U56)</f>
        <v>1253.5947577136394</v>
      </c>
      <c r="V22" s="206">
        <f>IF( ISBLANK(beam_frmt_noFPM!V56), "", beam_frmt_noFPM!V56)</f>
        <v>0.83819999999999995</v>
      </c>
      <c r="W22" s="124"/>
      <c r="X22" s="124"/>
      <c r="Y22" s="124"/>
      <c r="Z22" s="124"/>
      <c r="AA22" s="124"/>
      <c r="AB22" s="124"/>
      <c r="AC22" s="124"/>
      <c r="AD22" s="124"/>
      <c r="AE22" s="124"/>
      <c r="AF22" s="100"/>
      <c r="AI22" s="2">
        <v>10</v>
      </c>
      <c r="AJ22">
        <v>0.83819999999999995</v>
      </c>
      <c r="AK22">
        <v>0</v>
      </c>
      <c r="AL22">
        <v>0</v>
      </c>
      <c r="AM22" s="1">
        <v>1.4121969999999999</v>
      </c>
      <c r="AN22" s="1">
        <v>-1.214E-3</v>
      </c>
      <c r="AO22" s="1">
        <v>1.5659999999999999E-3</v>
      </c>
      <c r="AP22" s="1">
        <v>3.2676950000000002E-5</v>
      </c>
      <c r="AQ22" s="1">
        <v>1.539758E-3</v>
      </c>
      <c r="AR22" s="1">
        <v>5.6791259999999997E-5</v>
      </c>
      <c r="AS22" s="1">
        <v>22469620</v>
      </c>
      <c r="AT22" s="1">
        <v>45372.57</v>
      </c>
      <c r="AU22" s="1">
        <v>4683.4290000000001</v>
      </c>
      <c r="AV22" s="1">
        <v>826.57590000000005</v>
      </c>
      <c r="AW22" s="1">
        <v>9748.3269999999993</v>
      </c>
      <c r="AX22" s="1">
        <v>347.07889999999998</v>
      </c>
      <c r="AY22" s="1">
        <v>544.62919999999997</v>
      </c>
      <c r="AZ22" s="235">
        <v>976399.7</v>
      </c>
      <c r="BA22" s="237">
        <v>864169.8</v>
      </c>
      <c r="BB22" s="1">
        <v>3116.3290000000002</v>
      </c>
      <c r="BC22" s="1">
        <v>1967.047</v>
      </c>
      <c r="BD22" s="1">
        <v>0.83819999999999995</v>
      </c>
      <c r="BE22" s="1"/>
      <c r="BF22" s="1"/>
      <c r="BG22" s="1"/>
      <c r="BH22" s="1"/>
      <c r="BI22" s="1"/>
      <c r="BJ22" s="1"/>
      <c r="BK22" s="1"/>
      <c r="BL22" s="1"/>
      <c r="BM22" s="1"/>
      <c r="BN22" s="67"/>
      <c r="BQ22" s="49">
        <f t="shared" si="7"/>
        <v>0</v>
      </c>
      <c r="BR22" s="49">
        <f t="shared" si="7"/>
        <v>0</v>
      </c>
      <c r="BS22" s="49">
        <f t="shared" si="7"/>
        <v>0</v>
      </c>
      <c r="BT22" s="49">
        <f t="shared" si="3"/>
        <v>-2.1285894128904499E-3</v>
      </c>
      <c r="BU22" s="49">
        <f t="shared" si="4"/>
        <v>-1.4816149888205172E-4</v>
      </c>
      <c r="BV22" s="49">
        <f t="shared" si="4"/>
        <v>-1.2714610396329356E-4</v>
      </c>
      <c r="BW22" s="49">
        <f t="shared" si="5"/>
        <v>12.391373350001968</v>
      </c>
      <c r="BX22" s="49">
        <f t="shared" si="5"/>
        <v>-0.26094128912053799</v>
      </c>
      <c r="BY22" s="49">
        <f t="shared" si="5"/>
        <v>-271.78319807611263</v>
      </c>
      <c r="BZ22" s="49">
        <f t="shared" si="5"/>
        <v>2.4824964991415998E-3</v>
      </c>
      <c r="CA22" s="49">
        <f t="shared" si="5"/>
        <v>0.24421337358165887</v>
      </c>
      <c r="CB22" s="49">
        <f t="shared" si="5"/>
        <v>-75.798834133246928</v>
      </c>
      <c r="CC22" s="49">
        <f t="shared" si="5"/>
        <v>2.4558960457365315</v>
      </c>
      <c r="CD22" s="49">
        <f t="shared" si="5"/>
        <v>0.20661299135632258</v>
      </c>
      <c r="CE22" s="49">
        <f t="shared" si="5"/>
        <v>-255.01588965742451</v>
      </c>
      <c r="CF22" s="49">
        <f t="shared" si="5"/>
        <v>-2.2073021453639528</v>
      </c>
      <c r="CG22" s="49">
        <f t="shared" si="5"/>
        <v>-1.850425299774076E-2</v>
      </c>
      <c r="CH22" s="49">
        <f t="shared" si="5"/>
        <v>4.6238858794176364E-2</v>
      </c>
      <c r="CI22" s="49">
        <f t="shared" si="5"/>
        <v>-10.30699609610825</v>
      </c>
      <c r="CJ22" s="49">
        <f t="shared" si="5"/>
        <v>-36.27021836724596</v>
      </c>
      <c r="CK22" s="49">
        <f t="shared" si="5"/>
        <v>0</v>
      </c>
      <c r="CL22" s="49" t="e">
        <f t="shared" si="5"/>
        <v>#DIV/0!</v>
      </c>
      <c r="CM22" s="49" t="e">
        <f t="shared" si="6"/>
        <v>#DIV/0!</v>
      </c>
      <c r="CN22" s="49" t="e">
        <f t="shared" si="6"/>
        <v>#DIV/0!</v>
      </c>
      <c r="CO22" s="49" t="e">
        <f t="shared" si="6"/>
        <v>#DIV/0!</v>
      </c>
      <c r="CP22" s="49" t="e">
        <f t="shared" si="6"/>
        <v>#DIV/0!</v>
      </c>
      <c r="CQ22" s="49" t="e">
        <f t="shared" si="6"/>
        <v>#DIV/0!</v>
      </c>
      <c r="CR22" s="49" t="e">
        <f t="shared" si="6"/>
        <v>#DIV/0!</v>
      </c>
      <c r="CS22" s="49" t="e">
        <f t="shared" si="6"/>
        <v>#DIV/0!</v>
      </c>
      <c r="CT22" s="49" t="e">
        <f t="shared" si="6"/>
        <v>#DIV/0!</v>
      </c>
      <c r="CU22" s="49" t="e">
        <f t="shared" si="6"/>
        <v>#DIV/0!</v>
      </c>
    </row>
    <row r="23" spans="1:99">
      <c r="A23" s="53" t="str">
        <f>IF( ISBLANK(beam_frmt_noFPM!A57), "", beam_frmt_noFPM!A57)</f>
        <v/>
      </c>
      <c r="B23" s="54">
        <f>IF( ISBLANK(beam_frmt_noFPM!B57), "", beam_frmt_noFPM!B57)</f>
        <v>0.92320000000000002</v>
      </c>
      <c r="C23" s="54">
        <f>IF( ISBLANK(beam_frmt_noFPM!C57), "", beam_frmt_noFPM!C57)</f>
        <v>0</v>
      </c>
      <c r="D23" s="54">
        <f>IF( ISBLANK(beam_frmt_noFPM!D57), "", beam_frmt_noFPM!D57)</f>
        <v>0</v>
      </c>
      <c r="E23" s="54">
        <f>IF( ISBLANK(beam_frmt_noFPM!E57), "", beam_frmt_noFPM!E57)</f>
        <v>1.5066210071537691</v>
      </c>
      <c r="F23" s="54">
        <f>IF( ISBLANK(beam_frmt_noFPM!F57), "", beam_frmt_noFPM!F57)</f>
        <v>-1.7799068739209035E-4</v>
      </c>
      <c r="G23" s="54">
        <f>IF( ISBLANK(beam_frmt_noFPM!G57), "", beam_frmt_noFPM!G57)</f>
        <v>1.5976642408459317E-3</v>
      </c>
      <c r="H23" s="54">
        <f>IF( ISBLANK(beam_frmt_noFPM!H57), "", beam_frmt_noFPM!H57)</f>
        <v>3.8659951796950124E-5</v>
      </c>
      <c r="I23" s="54">
        <f>IF( ISBLANK(beam_frmt_noFPM!I57), "", beam_frmt_noFPM!I57)</f>
        <v>1.6512993674537065E-3</v>
      </c>
      <c r="J23" s="54">
        <f>IF( ISBLANK(beam_frmt_noFPM!J57), "", beam_frmt_noFPM!J57)</f>
        <v>-1.0268865001305723E-4</v>
      </c>
      <c r="K23" s="55">
        <f>IF( ISBLANK(beam_frmt_noFPM!K57), "", beam_frmt_noFPM!K57)</f>
        <v>21077407.373937417</v>
      </c>
      <c r="L23" s="56">
        <f>IF( ISBLANK(beam_frmt_noFPM!L57), "", beam_frmt_noFPM!L57)</f>
        <v>45420.063813543216</v>
      </c>
      <c r="M23" s="55">
        <f>IF( ISBLANK(beam_frmt_noFPM!M57), "", beam_frmt_noFPM!M57)</f>
        <v>46490.79610813922</v>
      </c>
      <c r="N23" s="56">
        <f>IF( ISBLANK(beam_frmt_noFPM!N57), "", beam_frmt_noFPM!N57)</f>
        <v>537.9100590342656</v>
      </c>
      <c r="O23" s="55">
        <f>IF( ISBLANK(beam_frmt_noFPM!O57), "", beam_frmt_noFPM!O57)</f>
        <v>8526.8551614660719</v>
      </c>
      <c r="P23" s="56">
        <f>IF( ISBLANK(beam_frmt_noFPM!P57), "", beam_frmt_noFPM!P57)</f>
        <v>-222.5763746233481</v>
      </c>
      <c r="Q23" s="55">
        <f>IF( ISBLANK(beam_frmt_noFPM!Q57), "", beam_frmt_noFPM!Q57)</f>
        <v>332.4363668138991</v>
      </c>
      <c r="R23" s="234">
        <f>IF( ISBLANK(beam_frmt_noFPM!R57), "", beam_frmt_noFPM!R57)</f>
        <v>685397.7177819229</v>
      </c>
      <c r="S23" s="236">
        <f>IF( ISBLANK(beam_frmt_noFPM!S57), "", beam_frmt_noFPM!S57)</f>
        <v>606821.86678250995</v>
      </c>
      <c r="T23" s="55">
        <f>IF( ISBLANK(beam_frmt_noFPM!T57), "", beam_frmt_noFPM!T57)</f>
        <v>2066.5637796530418</v>
      </c>
      <c r="U23" s="55">
        <f>IF( ISBLANK(beam_frmt_noFPM!U57), "", beam_frmt_noFPM!U57)</f>
        <v>1827.5573255051081</v>
      </c>
      <c r="V23" s="206">
        <f>IF( ISBLANK(beam_frmt_noFPM!V57), "", beam_frmt_noFPM!V57)</f>
        <v>0.92320000000000002</v>
      </c>
      <c r="W23" s="124"/>
      <c r="X23" s="124"/>
      <c r="Y23" s="124"/>
      <c r="Z23" s="124"/>
      <c r="AA23" s="124"/>
      <c r="AB23" s="124"/>
      <c r="AC23" s="124"/>
      <c r="AD23" s="124"/>
      <c r="AE23" s="124"/>
      <c r="AF23" s="100"/>
      <c r="AI23" s="2"/>
      <c r="AJ23">
        <v>0.92320000000000002</v>
      </c>
      <c r="AK23">
        <v>0</v>
      </c>
      <c r="AL23">
        <v>0</v>
      </c>
      <c r="AM23" s="1">
        <v>1.506586</v>
      </c>
      <c r="AN23">
        <v>-6.0999999999999999E-5</v>
      </c>
      <c r="AO23" s="1">
        <v>1.6069999999999999E-3</v>
      </c>
      <c r="AP23" s="1">
        <v>3.2435750000000002E-5</v>
      </c>
      <c r="AQ23" s="1">
        <v>1.657059E-3</v>
      </c>
      <c r="AR23" s="1">
        <v>1.878639E-5</v>
      </c>
      <c r="AS23" s="1">
        <v>21077330</v>
      </c>
      <c r="AT23" s="1">
        <v>43658.49</v>
      </c>
      <c r="AU23" s="1">
        <v>48146.55</v>
      </c>
      <c r="AV23" s="1">
        <v>526.72699999999998</v>
      </c>
      <c r="AW23" s="1">
        <v>8538.0220000000008</v>
      </c>
      <c r="AX23" s="1">
        <v>172.94139999999999</v>
      </c>
      <c r="AY23" s="1">
        <v>346.61009999999999</v>
      </c>
      <c r="AZ23" s="235">
        <v>685495</v>
      </c>
      <c r="BA23" s="237">
        <v>606702.5</v>
      </c>
      <c r="BB23" s="1">
        <v>2275.8389999999999</v>
      </c>
      <c r="BC23" s="1">
        <v>2447.9009999999998</v>
      </c>
      <c r="BD23" s="1">
        <v>0.92320000000000002</v>
      </c>
      <c r="BE23" s="1"/>
      <c r="BF23" s="1"/>
      <c r="BG23" s="1"/>
      <c r="BH23" s="1"/>
      <c r="BI23" s="1"/>
      <c r="BJ23" s="1"/>
      <c r="BK23" s="1"/>
      <c r="BL23" s="1"/>
      <c r="BM23" s="1"/>
      <c r="BN23" s="67"/>
      <c r="BQ23" s="49">
        <f t="shared" si="7"/>
        <v>0</v>
      </c>
      <c r="BR23" s="49">
        <f t="shared" si="7"/>
        <v>0</v>
      </c>
      <c r="BS23" s="49">
        <f t="shared" si="7"/>
        <v>0</v>
      </c>
      <c r="BT23" s="49">
        <f t="shared" si="3"/>
        <v>2.3236080628082217E-3</v>
      </c>
      <c r="BU23" s="49">
        <f t="shared" si="4"/>
        <v>-1.1699068739209035E-4</v>
      </c>
      <c r="BV23" s="49">
        <f t="shared" si="4"/>
        <v>-9.3357591540682398E-6</v>
      </c>
      <c r="BW23" s="49">
        <f t="shared" si="5"/>
        <v>19.189325965794289</v>
      </c>
      <c r="BX23" s="49">
        <f t="shared" si="5"/>
        <v>-0.34758162179460628</v>
      </c>
      <c r="BY23" s="49">
        <f t="shared" si="5"/>
        <v>-646.6119356249776</v>
      </c>
      <c r="BZ23" s="49">
        <f t="shared" si="5"/>
        <v>3.6709553542513078E-4</v>
      </c>
      <c r="CA23" s="49">
        <f t="shared" si="5"/>
        <v>4.0348940459077225</v>
      </c>
      <c r="CB23" s="49">
        <f t="shared" si="5"/>
        <v>-3.438987615645944</v>
      </c>
      <c r="CC23" s="49">
        <f t="shared" si="5"/>
        <v>2.1231224209629707</v>
      </c>
      <c r="CD23" s="49">
        <f t="shared" si="5"/>
        <v>-0.13078952635550675</v>
      </c>
      <c r="CE23" s="49">
        <f t="shared" si="5"/>
        <v>-228.70045843467679</v>
      </c>
      <c r="CF23" s="49">
        <f t="shared" si="5"/>
        <v>-4.0892441351538489</v>
      </c>
      <c r="CG23" s="49">
        <f t="shared" si="5"/>
        <v>-1.4191528468785857E-2</v>
      </c>
      <c r="CH23" s="49">
        <f t="shared" si="5"/>
        <v>1.9674681167451039E-2</v>
      </c>
      <c r="CI23" s="49">
        <f t="shared" si="5"/>
        <v>-9.1955195577085256</v>
      </c>
      <c r="CJ23" s="49">
        <f t="shared" si="5"/>
        <v>-25.341861231107458</v>
      </c>
      <c r="CK23" s="49">
        <f t="shared" si="5"/>
        <v>0</v>
      </c>
      <c r="CL23" s="49" t="e">
        <f t="shared" si="5"/>
        <v>#DIV/0!</v>
      </c>
      <c r="CM23" s="49" t="e">
        <f t="shared" si="6"/>
        <v>#DIV/0!</v>
      </c>
      <c r="CN23" s="49" t="e">
        <f t="shared" si="6"/>
        <v>#DIV/0!</v>
      </c>
      <c r="CO23" s="49" t="e">
        <f t="shared" si="6"/>
        <v>#DIV/0!</v>
      </c>
      <c r="CP23" s="49" t="e">
        <f t="shared" si="6"/>
        <v>#DIV/0!</v>
      </c>
      <c r="CQ23" s="49" t="e">
        <f t="shared" si="6"/>
        <v>#DIV/0!</v>
      </c>
      <c r="CR23" s="49" t="e">
        <f t="shared" si="6"/>
        <v>#DIV/0!</v>
      </c>
      <c r="CS23" s="49" t="e">
        <f t="shared" si="6"/>
        <v>#DIV/0!</v>
      </c>
      <c r="CT23" s="49" t="e">
        <f t="shared" si="6"/>
        <v>#DIV/0!</v>
      </c>
      <c r="CU23" s="49" t="e">
        <f t="shared" si="6"/>
        <v>#DIV/0!</v>
      </c>
    </row>
    <row r="24" spans="1:99">
      <c r="A24" s="53">
        <f>IF( ISBLANK(beam_frmt_noFPM!A58), "", beam_frmt_noFPM!A58)</f>
        <v>11</v>
      </c>
      <c r="B24" s="54">
        <f>IF( ISBLANK(beam_frmt_noFPM!B58), "", beam_frmt_noFPM!B58)</f>
        <v>0.92320000000000002</v>
      </c>
      <c r="C24" s="54">
        <f>IF( ISBLANK(beam_frmt_noFPM!C58), "", beam_frmt_noFPM!C58)</f>
        <v>0</v>
      </c>
      <c r="D24" s="54">
        <f>IF( ISBLANK(beam_frmt_noFPM!D58), "", beam_frmt_noFPM!D58)</f>
        <v>0</v>
      </c>
      <c r="E24" s="54">
        <f>IF( ISBLANK(beam_frmt_noFPM!E58), "", beam_frmt_noFPM!E58)</f>
        <v>1.5066210071537691</v>
      </c>
      <c r="F24" s="54">
        <f>IF( ISBLANK(beam_frmt_noFPM!F58), "", beam_frmt_noFPM!F58)</f>
        <v>-1.7799068739209035E-4</v>
      </c>
      <c r="G24" s="54">
        <f>IF( ISBLANK(beam_frmt_noFPM!G58), "", beam_frmt_noFPM!G58)</f>
        <v>1.5976642408459317E-3</v>
      </c>
      <c r="H24" s="54">
        <f>IF( ISBLANK(beam_frmt_noFPM!H58), "", beam_frmt_noFPM!H58)</f>
        <v>3.8659951796950124E-5</v>
      </c>
      <c r="I24" s="54">
        <f>IF( ISBLANK(beam_frmt_noFPM!I58), "", beam_frmt_noFPM!I58)</f>
        <v>1.6512993674537065E-3</v>
      </c>
      <c r="J24" s="54">
        <f>IF( ISBLANK(beam_frmt_noFPM!J58), "", beam_frmt_noFPM!J58)</f>
        <v>-1.0268865001305723E-4</v>
      </c>
      <c r="K24" s="55">
        <f>IF( ISBLANK(beam_frmt_noFPM!K58), "", beam_frmt_noFPM!K58)</f>
        <v>21077407.373937417</v>
      </c>
      <c r="L24" s="56">
        <f>IF( ISBLANK(beam_frmt_noFPM!L58), "", beam_frmt_noFPM!L58)</f>
        <v>45420.063813543216</v>
      </c>
      <c r="M24" s="55">
        <f>IF( ISBLANK(beam_frmt_noFPM!M58), "", beam_frmt_noFPM!M58)</f>
        <v>46490.79610813922</v>
      </c>
      <c r="N24" s="56">
        <f>IF( ISBLANK(beam_frmt_noFPM!N58), "", beam_frmt_noFPM!N58)</f>
        <v>537.9100590342656</v>
      </c>
      <c r="O24" s="55">
        <f>IF( ISBLANK(beam_frmt_noFPM!O58), "", beam_frmt_noFPM!O58)</f>
        <v>8526.8551614660719</v>
      </c>
      <c r="P24" s="56">
        <f>IF( ISBLANK(beam_frmt_noFPM!P58), "", beam_frmt_noFPM!P58)</f>
        <v>-222.5763746233481</v>
      </c>
      <c r="Q24" s="55">
        <f>IF( ISBLANK(beam_frmt_noFPM!Q58), "", beam_frmt_noFPM!Q58)</f>
        <v>332.4363668138991</v>
      </c>
      <c r="R24" s="234">
        <f>IF( ISBLANK(beam_frmt_noFPM!R58), "", beam_frmt_noFPM!R58)</f>
        <v>685397.7177819229</v>
      </c>
      <c r="S24" s="236">
        <f>IF( ISBLANK(beam_frmt_noFPM!S58), "", beam_frmt_noFPM!S58)</f>
        <v>606821.86678250995</v>
      </c>
      <c r="T24" s="55">
        <f>IF( ISBLANK(beam_frmt_noFPM!T58), "", beam_frmt_noFPM!T58)</f>
        <v>2066.5637796530418</v>
      </c>
      <c r="U24" s="55">
        <f>IF( ISBLANK(beam_frmt_noFPM!U58), "", beam_frmt_noFPM!U58)</f>
        <v>1827.5573255051081</v>
      </c>
      <c r="V24" s="206">
        <f>IF( ISBLANK(beam_frmt_noFPM!V58), "", beam_frmt_noFPM!V58)</f>
        <v>0.92320000000000002</v>
      </c>
      <c r="W24" s="124"/>
      <c r="X24" s="124"/>
      <c r="Y24" s="124"/>
      <c r="Z24" s="124"/>
      <c r="AA24" s="124"/>
      <c r="AB24" s="124"/>
      <c r="AC24" s="124"/>
      <c r="AD24" s="124"/>
      <c r="AE24" s="124"/>
      <c r="AF24" s="100"/>
      <c r="AI24" s="2">
        <v>11</v>
      </c>
      <c r="AJ24">
        <v>0.92320000000000002</v>
      </c>
      <c r="AK24">
        <v>0</v>
      </c>
      <c r="AL24">
        <v>0</v>
      </c>
      <c r="AM24" s="1">
        <v>1.506586</v>
      </c>
      <c r="AN24" s="1">
        <v>-6.0999999999999999E-5</v>
      </c>
      <c r="AO24" s="1">
        <v>1.6069999999999999E-3</v>
      </c>
      <c r="AP24" s="1">
        <v>3.2435750000000002E-5</v>
      </c>
      <c r="AQ24" s="1">
        <v>1.657059E-3</v>
      </c>
      <c r="AR24" s="1">
        <v>1.878639E-5</v>
      </c>
      <c r="AS24" s="1">
        <v>21077330</v>
      </c>
      <c r="AT24" s="1">
        <v>43658.49</v>
      </c>
      <c r="AU24" s="1">
        <v>48146.55</v>
      </c>
      <c r="AV24" s="1">
        <v>526.72699999999998</v>
      </c>
      <c r="AW24" s="1">
        <v>8538.0220000000008</v>
      </c>
      <c r="AX24" s="1">
        <v>172.94139999999999</v>
      </c>
      <c r="AY24" s="1">
        <v>346.61009999999999</v>
      </c>
      <c r="AZ24" s="235">
        <v>685495</v>
      </c>
      <c r="BA24" s="237">
        <v>606702.5</v>
      </c>
      <c r="BB24" s="1">
        <v>2275.8389999999999</v>
      </c>
      <c r="BC24" s="1">
        <v>2447.9009999999998</v>
      </c>
      <c r="BD24" s="1">
        <v>0.92320000000000002</v>
      </c>
      <c r="BE24" s="1"/>
      <c r="BF24" s="1"/>
      <c r="BG24" s="1"/>
      <c r="BH24" s="1"/>
      <c r="BI24" s="1"/>
      <c r="BJ24" s="1"/>
      <c r="BK24" s="1"/>
      <c r="BL24" s="1"/>
      <c r="BM24" s="1"/>
      <c r="BN24" s="67"/>
      <c r="BQ24" s="49">
        <f t="shared" si="7"/>
        <v>0</v>
      </c>
      <c r="BR24" s="49">
        <f t="shared" si="7"/>
        <v>0</v>
      </c>
      <c r="BS24" s="49">
        <f t="shared" si="7"/>
        <v>0</v>
      </c>
      <c r="BT24" s="49">
        <f t="shared" si="3"/>
        <v>2.3236080628082217E-3</v>
      </c>
      <c r="BU24" s="49">
        <f t="shared" si="4"/>
        <v>-1.1699068739209035E-4</v>
      </c>
      <c r="BV24" s="49">
        <f t="shared" si="4"/>
        <v>-9.3357591540682398E-6</v>
      </c>
      <c r="BW24" s="49">
        <f t="shared" si="5"/>
        <v>19.189325965794289</v>
      </c>
      <c r="BX24" s="49">
        <f t="shared" si="5"/>
        <v>-0.34758162179460628</v>
      </c>
      <c r="BY24" s="49">
        <f t="shared" si="5"/>
        <v>-646.6119356249776</v>
      </c>
      <c r="BZ24" s="49">
        <f t="shared" si="5"/>
        <v>3.6709553542513078E-4</v>
      </c>
      <c r="CA24" s="49">
        <f t="shared" si="5"/>
        <v>4.0348940459077225</v>
      </c>
      <c r="CB24" s="49">
        <f t="shared" si="5"/>
        <v>-3.438987615645944</v>
      </c>
      <c r="CC24" s="49">
        <f t="shared" si="5"/>
        <v>2.1231224209629707</v>
      </c>
      <c r="CD24" s="49">
        <f t="shared" si="5"/>
        <v>-0.13078952635550675</v>
      </c>
      <c r="CE24" s="49">
        <f t="shared" si="5"/>
        <v>-228.70045843467679</v>
      </c>
      <c r="CF24" s="49">
        <f t="shared" si="5"/>
        <v>-4.0892441351538489</v>
      </c>
      <c r="CG24" s="49">
        <f t="shared" si="5"/>
        <v>-1.4191528468785857E-2</v>
      </c>
      <c r="CH24" s="49">
        <f t="shared" si="5"/>
        <v>1.9674681167451039E-2</v>
      </c>
      <c r="CI24" s="49">
        <f t="shared" si="5"/>
        <v>-9.1955195577085256</v>
      </c>
      <c r="CJ24" s="49">
        <f t="shared" si="5"/>
        <v>-25.341861231107458</v>
      </c>
      <c r="CK24" s="49">
        <f t="shared" si="5"/>
        <v>0</v>
      </c>
      <c r="CL24" s="49" t="e">
        <f t="shared" si="5"/>
        <v>#DIV/0!</v>
      </c>
      <c r="CM24" s="49" t="e">
        <f t="shared" si="6"/>
        <v>#DIV/0!</v>
      </c>
      <c r="CN24" s="49" t="e">
        <f t="shared" si="6"/>
        <v>#DIV/0!</v>
      </c>
      <c r="CO24" s="49" t="e">
        <f t="shared" si="6"/>
        <v>#DIV/0!</v>
      </c>
      <c r="CP24" s="49" t="e">
        <f t="shared" si="6"/>
        <v>#DIV/0!</v>
      </c>
      <c r="CQ24" s="49" t="e">
        <f t="shared" si="6"/>
        <v>#DIV/0!</v>
      </c>
      <c r="CR24" s="49" t="e">
        <f t="shared" si="6"/>
        <v>#DIV/0!</v>
      </c>
      <c r="CS24" s="49" t="e">
        <f t="shared" si="6"/>
        <v>#DIV/0!</v>
      </c>
      <c r="CT24" s="49" t="e">
        <f t="shared" si="6"/>
        <v>#DIV/0!</v>
      </c>
      <c r="CU24" s="49" t="e">
        <f t="shared" si="6"/>
        <v>#DIV/0!</v>
      </c>
    </row>
    <row r="25" spans="1:99">
      <c r="A25" s="53" t="str">
        <f>IF( ISBLANK(beam_frmt_noFPM!A59), "", beam_frmt_noFPM!A59)</f>
        <v/>
      </c>
      <c r="B25" s="54">
        <f>IF( ISBLANK(beam_frmt_noFPM!B59), "", beam_frmt_noFPM!B59)</f>
        <v>1.0081</v>
      </c>
      <c r="C25" s="54">
        <f>IF( ISBLANK(beam_frmt_noFPM!C59), "", beam_frmt_noFPM!C59)</f>
        <v>0</v>
      </c>
      <c r="D25" s="54">
        <f>IF( ISBLANK(beam_frmt_noFPM!D59), "", beam_frmt_noFPM!D59)</f>
        <v>0</v>
      </c>
      <c r="E25" s="54">
        <f>IF( ISBLANK(beam_frmt_noFPM!E59), "", beam_frmt_noFPM!E59)</f>
        <v>1.5070595005306422</v>
      </c>
      <c r="F25" s="54">
        <f>IF( ISBLANK(beam_frmt_noFPM!F59), "", beam_frmt_noFPM!F59)</f>
        <v>-4.4376929496324066E-3</v>
      </c>
      <c r="G25" s="54">
        <f>IF( ISBLANK(beam_frmt_noFPM!G59), "", beam_frmt_noFPM!G59)</f>
        <v>1.2473332488371783E-3</v>
      </c>
      <c r="H25" s="54">
        <f>IF( ISBLANK(beam_frmt_noFPM!H59), "", beam_frmt_noFPM!H59)</f>
        <v>2.8079966389456712E-5</v>
      </c>
      <c r="I25" s="54">
        <f>IF( ISBLANK(beam_frmt_noFPM!I59), "", beam_frmt_noFPM!I59)</f>
        <v>1.6115590391006585E-3</v>
      </c>
      <c r="J25" s="54">
        <f>IF( ISBLANK(beam_frmt_noFPM!J59), "", beam_frmt_noFPM!J59)</f>
        <v>-7.1384068779810819E-5</v>
      </c>
      <c r="K25" s="55">
        <f>IF( ISBLANK(beam_frmt_noFPM!K59), "", beam_frmt_noFPM!K59)</f>
        <v>20362089.46121813</v>
      </c>
      <c r="L25" s="56">
        <f>IF( ISBLANK(beam_frmt_noFPM!L59), "", beam_frmt_noFPM!L59)</f>
        <v>43856.025205533057</v>
      </c>
      <c r="M25" s="55">
        <f>IF( ISBLANK(beam_frmt_noFPM!M59), "", beam_frmt_noFPM!M59)</f>
        <v>56820.223992959254</v>
      </c>
      <c r="N25" s="56">
        <f>IF( ISBLANK(beam_frmt_noFPM!N59), "", beam_frmt_noFPM!N59)</f>
        <v>453.91662846025116</v>
      </c>
      <c r="O25" s="55">
        <f>IF( ISBLANK(beam_frmt_noFPM!O59), "", beam_frmt_noFPM!O59)</f>
        <v>8013.4642549805931</v>
      </c>
      <c r="P25" s="56">
        <f>IF( ISBLANK(beam_frmt_noFPM!P59), "", beam_frmt_noFPM!P59)</f>
        <v>-65.455177019139143</v>
      </c>
      <c r="Q25" s="55">
        <f>IF( ISBLANK(beam_frmt_noFPM!Q59), "", beam_frmt_noFPM!Q59)</f>
        <v>279.75481215103724</v>
      </c>
      <c r="R25" s="234">
        <f>IF( ISBLANK(beam_frmt_noFPM!R59), "", beam_frmt_noFPM!R59)</f>
        <v>600527.14848011115</v>
      </c>
      <c r="S25" s="236">
        <f>IF( ISBLANK(beam_frmt_noFPM!S59), "", beam_frmt_noFPM!S59)</f>
        <v>531596.47234446229</v>
      </c>
      <c r="T25" s="55">
        <f>IF( ISBLANK(beam_frmt_noFPM!T59), "", beam_frmt_noFPM!T59)</f>
        <v>1725.0789399114963</v>
      </c>
      <c r="U25" s="55">
        <f>IF( ISBLANK(beam_frmt_noFPM!U59), "", beam_frmt_noFPM!U59)</f>
        <v>1852.9462643829249</v>
      </c>
      <c r="V25" s="206">
        <f>IF( ISBLANK(beam_frmt_noFPM!V59), "", beam_frmt_noFPM!V59)</f>
        <v>1.0081</v>
      </c>
      <c r="W25" s="124"/>
      <c r="X25" s="124"/>
      <c r="Y25" s="124"/>
      <c r="Z25" s="124"/>
      <c r="AA25" s="124"/>
      <c r="AB25" s="124"/>
      <c r="AC25" s="124"/>
      <c r="AD25" s="124"/>
      <c r="AE25" s="124"/>
      <c r="AF25" s="100"/>
      <c r="AI25" s="2"/>
      <c r="AJ25">
        <v>1.0081</v>
      </c>
      <c r="AK25">
        <v>0</v>
      </c>
      <c r="AL25">
        <v>0</v>
      </c>
      <c r="AM25" s="1">
        <v>1.5072570000000001</v>
      </c>
      <c r="AN25">
        <v>-4.3660000000000001E-3</v>
      </c>
      <c r="AO25" s="1">
        <v>1.4760000000000001E-3</v>
      </c>
      <c r="AP25" s="1">
        <v>2.602371E-5</v>
      </c>
      <c r="AQ25" s="1">
        <v>1.6098600000000001E-3</v>
      </c>
      <c r="AR25" s="1">
        <v>2.6122130000000001E-5</v>
      </c>
      <c r="AS25" s="1">
        <v>20362300</v>
      </c>
      <c r="AT25" s="1">
        <v>42323.92</v>
      </c>
      <c r="AU25" s="1">
        <v>58272.55</v>
      </c>
      <c r="AV25" s="1">
        <v>446.625</v>
      </c>
      <c r="AW25" s="1">
        <v>8017.1729999999998</v>
      </c>
      <c r="AX25" s="1">
        <v>66.886650000000003</v>
      </c>
      <c r="AY25" s="1">
        <v>293.95870000000002</v>
      </c>
      <c r="AZ25" s="235">
        <v>600604.19999999995</v>
      </c>
      <c r="BA25" s="237">
        <v>531569.30000000005</v>
      </c>
      <c r="BB25" s="1">
        <v>1916.6780000000001</v>
      </c>
      <c r="BC25" s="1">
        <v>2473.2429999999999</v>
      </c>
      <c r="BD25" s="1">
        <v>1.0081</v>
      </c>
      <c r="BE25" s="1"/>
      <c r="BF25" s="1"/>
      <c r="BG25" s="1"/>
      <c r="BH25" s="1"/>
      <c r="BI25" s="1"/>
      <c r="BJ25" s="1"/>
      <c r="BK25" s="1"/>
      <c r="BL25" s="1"/>
      <c r="BM25" s="1"/>
      <c r="BN25" s="67"/>
      <c r="BQ25" s="49">
        <f t="shared" si="7"/>
        <v>0</v>
      </c>
      <c r="BR25" s="49">
        <f t="shared" si="7"/>
        <v>0</v>
      </c>
      <c r="BS25" s="49">
        <f t="shared" si="7"/>
        <v>0</v>
      </c>
      <c r="BT25" s="49">
        <f t="shared" si="3"/>
        <v>-1.3103237825923235E-2</v>
      </c>
      <c r="BU25" s="49">
        <f t="shared" si="4"/>
        <v>-7.1692949632406501E-5</v>
      </c>
      <c r="BV25" s="49">
        <f t="shared" si="4"/>
        <v>-2.2866675116282181E-4</v>
      </c>
      <c r="BW25" s="49">
        <f t="shared" si="5"/>
        <v>7.9014728855213638</v>
      </c>
      <c r="BX25" s="49">
        <f t="shared" si="5"/>
        <v>0.10553955627560446</v>
      </c>
      <c r="BY25" s="49">
        <f t="shared" si="5"/>
        <v>-373.27047518640637</v>
      </c>
      <c r="BZ25" s="49">
        <f t="shared" si="5"/>
        <v>-1.0339636576916975E-3</v>
      </c>
      <c r="CA25" s="49">
        <f t="shared" si="5"/>
        <v>3.6199510951090028</v>
      </c>
      <c r="CB25" s="49">
        <f t="shared" si="5"/>
        <v>-2.492298701602639</v>
      </c>
      <c r="CC25" s="49">
        <f t="shared" si="5"/>
        <v>1.6326064282678223</v>
      </c>
      <c r="CD25" s="49">
        <f t="shared" si="5"/>
        <v>-4.6260009848941838E-2</v>
      </c>
      <c r="CE25" s="49">
        <f t="shared" si="5"/>
        <v>-197.85985248048624</v>
      </c>
      <c r="CF25" s="49">
        <f t="shared" si="5"/>
        <v>-4.8319331419559211</v>
      </c>
      <c r="CG25" s="49">
        <f t="shared" si="5"/>
        <v>-1.282900117728155E-2</v>
      </c>
      <c r="CH25" s="49">
        <f t="shared" si="5"/>
        <v>5.1117219264256919E-3</v>
      </c>
      <c r="CI25" s="49">
        <f t="shared" si="5"/>
        <v>-9.9964135910415752</v>
      </c>
      <c r="CJ25" s="49">
        <f t="shared" si="5"/>
        <v>-25.08029884718465</v>
      </c>
      <c r="CK25" s="49">
        <f t="shared" si="5"/>
        <v>0</v>
      </c>
      <c r="CL25" s="49" t="e">
        <f t="shared" si="5"/>
        <v>#DIV/0!</v>
      </c>
      <c r="CM25" s="49" t="e">
        <f t="shared" si="6"/>
        <v>#DIV/0!</v>
      </c>
      <c r="CN25" s="49" t="e">
        <f t="shared" si="6"/>
        <v>#DIV/0!</v>
      </c>
      <c r="CO25" s="49" t="e">
        <f t="shared" si="6"/>
        <v>#DIV/0!</v>
      </c>
      <c r="CP25" s="49" t="e">
        <f t="shared" si="6"/>
        <v>#DIV/0!</v>
      </c>
      <c r="CQ25" s="49" t="e">
        <f t="shared" si="6"/>
        <v>#DIV/0!</v>
      </c>
      <c r="CR25" s="49" t="e">
        <f t="shared" si="6"/>
        <v>#DIV/0!</v>
      </c>
      <c r="CS25" s="49" t="e">
        <f t="shared" si="6"/>
        <v>#DIV/0!</v>
      </c>
      <c r="CT25" s="49" t="e">
        <f t="shared" si="6"/>
        <v>#DIV/0!</v>
      </c>
      <c r="CU25" s="49" t="e">
        <f t="shared" si="6"/>
        <v>#DIV/0!</v>
      </c>
    </row>
    <row r="26" spans="1:99">
      <c r="A26" s="53">
        <f>IF( ISBLANK(beam_frmt_noFPM!A60), "", beam_frmt_noFPM!A60)</f>
        <v>12</v>
      </c>
      <c r="B26" s="54">
        <f>IF( ISBLANK(beam_frmt_noFPM!B60), "", beam_frmt_noFPM!B60)</f>
        <v>1.0081</v>
      </c>
      <c r="C26" s="54">
        <f>IF( ISBLANK(beam_frmt_noFPM!C60), "", beam_frmt_noFPM!C60)</f>
        <v>0</v>
      </c>
      <c r="D26" s="54">
        <f>IF( ISBLANK(beam_frmt_noFPM!D60), "", beam_frmt_noFPM!D60)</f>
        <v>0</v>
      </c>
      <c r="E26" s="54">
        <f>IF( ISBLANK(beam_frmt_noFPM!E60), "", beam_frmt_noFPM!E60)</f>
        <v>1.5070595005306422</v>
      </c>
      <c r="F26" s="54">
        <f>IF( ISBLANK(beam_frmt_noFPM!F60), "", beam_frmt_noFPM!F60)</f>
        <v>-4.4376929496324066E-3</v>
      </c>
      <c r="G26" s="54">
        <f>IF( ISBLANK(beam_frmt_noFPM!G60), "", beam_frmt_noFPM!G60)</f>
        <v>1.2473332488371783E-3</v>
      </c>
      <c r="H26" s="54">
        <f>IF( ISBLANK(beam_frmt_noFPM!H60), "", beam_frmt_noFPM!H60)</f>
        <v>2.8079966389456712E-5</v>
      </c>
      <c r="I26" s="54">
        <f>IF( ISBLANK(beam_frmt_noFPM!I60), "", beam_frmt_noFPM!I60)</f>
        <v>1.6115590391006585E-3</v>
      </c>
      <c r="J26" s="54">
        <f>IF( ISBLANK(beam_frmt_noFPM!J60), "", beam_frmt_noFPM!J60)</f>
        <v>-7.1384068779810819E-5</v>
      </c>
      <c r="K26" s="55">
        <f>IF( ISBLANK(beam_frmt_noFPM!K60), "", beam_frmt_noFPM!K60)</f>
        <v>20362089.46121813</v>
      </c>
      <c r="L26" s="56">
        <f>IF( ISBLANK(beam_frmt_noFPM!L60), "", beam_frmt_noFPM!L60)</f>
        <v>43856.025205533057</v>
      </c>
      <c r="M26" s="55">
        <f>IF( ISBLANK(beam_frmt_noFPM!M60), "", beam_frmt_noFPM!M60)</f>
        <v>56820.223992959254</v>
      </c>
      <c r="N26" s="56">
        <f>IF( ISBLANK(beam_frmt_noFPM!N60), "", beam_frmt_noFPM!N60)</f>
        <v>453.91662846025116</v>
      </c>
      <c r="O26" s="55">
        <f>IF( ISBLANK(beam_frmt_noFPM!O60), "", beam_frmt_noFPM!O60)</f>
        <v>8013.4642549805931</v>
      </c>
      <c r="P26" s="56">
        <f>IF( ISBLANK(beam_frmt_noFPM!P60), "", beam_frmt_noFPM!P60)</f>
        <v>-65.455177019139143</v>
      </c>
      <c r="Q26" s="55">
        <f>IF( ISBLANK(beam_frmt_noFPM!Q60), "", beam_frmt_noFPM!Q60)</f>
        <v>279.75481215103724</v>
      </c>
      <c r="R26" s="234">
        <f>IF( ISBLANK(beam_frmt_noFPM!R60), "", beam_frmt_noFPM!R60)</f>
        <v>600527.14848011115</v>
      </c>
      <c r="S26" s="236">
        <f>IF( ISBLANK(beam_frmt_noFPM!S60), "", beam_frmt_noFPM!S60)</f>
        <v>531596.47234446229</v>
      </c>
      <c r="T26" s="55">
        <f>IF( ISBLANK(beam_frmt_noFPM!T60), "", beam_frmt_noFPM!T60)</f>
        <v>1725.0789399114963</v>
      </c>
      <c r="U26" s="55">
        <f>IF( ISBLANK(beam_frmt_noFPM!U60), "", beam_frmt_noFPM!U60)</f>
        <v>1852.9462643829249</v>
      </c>
      <c r="V26" s="206">
        <f>IF( ISBLANK(beam_frmt_noFPM!V60), "", beam_frmt_noFPM!V60)</f>
        <v>1.0081</v>
      </c>
      <c r="W26" s="124"/>
      <c r="X26" s="124"/>
      <c r="Y26" s="124"/>
      <c r="Z26" s="124"/>
      <c r="AA26" s="124"/>
      <c r="AB26" s="124"/>
      <c r="AC26" s="124"/>
      <c r="AD26" s="124"/>
      <c r="AE26" s="124"/>
      <c r="AF26" s="100"/>
      <c r="AI26" s="2">
        <v>12</v>
      </c>
      <c r="AJ26">
        <v>1.0081</v>
      </c>
      <c r="AK26">
        <v>0</v>
      </c>
      <c r="AL26">
        <v>0</v>
      </c>
      <c r="AM26" s="1">
        <v>1.5072570000000001</v>
      </c>
      <c r="AN26" s="1">
        <v>-4.3660000000000001E-3</v>
      </c>
      <c r="AO26" s="1">
        <v>1.4760000000000001E-3</v>
      </c>
      <c r="AP26" s="1">
        <v>2.602371E-5</v>
      </c>
      <c r="AQ26" s="1">
        <v>1.6098600000000001E-3</v>
      </c>
      <c r="AR26" s="1">
        <v>2.6122130000000001E-5</v>
      </c>
      <c r="AS26" s="1">
        <v>20362300</v>
      </c>
      <c r="AT26" s="1">
        <v>42323.92</v>
      </c>
      <c r="AU26" s="1">
        <v>58272.55</v>
      </c>
      <c r="AV26" s="1">
        <v>446.625</v>
      </c>
      <c r="AW26" s="1">
        <v>8017.1729999999998</v>
      </c>
      <c r="AX26" s="1">
        <v>66.886650000000003</v>
      </c>
      <c r="AY26" s="1">
        <v>293.95870000000002</v>
      </c>
      <c r="AZ26" s="235">
        <v>600604.19999999995</v>
      </c>
      <c r="BA26" s="237">
        <v>531569.30000000005</v>
      </c>
      <c r="BB26" s="1">
        <v>1916.6780000000001</v>
      </c>
      <c r="BC26" s="1">
        <v>2473.2429999999999</v>
      </c>
      <c r="BD26" s="1">
        <v>1.0081</v>
      </c>
      <c r="BE26" s="1"/>
      <c r="BF26" s="1"/>
      <c r="BG26" s="1"/>
      <c r="BH26" s="1"/>
      <c r="BI26" s="1"/>
      <c r="BJ26" s="1"/>
      <c r="BK26" s="1"/>
      <c r="BL26" s="1"/>
      <c r="BM26" s="1"/>
      <c r="BN26" s="67"/>
      <c r="BQ26" s="49">
        <f t="shared" si="7"/>
        <v>0</v>
      </c>
      <c r="BR26" s="49">
        <f t="shared" si="7"/>
        <v>0</v>
      </c>
      <c r="BS26" s="49">
        <f t="shared" si="7"/>
        <v>0</v>
      </c>
      <c r="BT26" s="49">
        <f t="shared" si="3"/>
        <v>-1.3103237825923235E-2</v>
      </c>
      <c r="BU26" s="49">
        <f t="shared" si="4"/>
        <v>-7.1692949632406501E-5</v>
      </c>
      <c r="BV26" s="49">
        <f t="shared" si="4"/>
        <v>-2.2866675116282181E-4</v>
      </c>
      <c r="BW26" s="49">
        <f t="shared" si="5"/>
        <v>7.9014728855213638</v>
      </c>
      <c r="BX26" s="49">
        <f t="shared" si="5"/>
        <v>0.10553955627560446</v>
      </c>
      <c r="BY26" s="49">
        <f t="shared" si="5"/>
        <v>-373.27047518640637</v>
      </c>
      <c r="BZ26" s="49">
        <f t="shared" si="5"/>
        <v>-1.0339636576916975E-3</v>
      </c>
      <c r="CA26" s="49">
        <f t="shared" si="5"/>
        <v>3.6199510951090028</v>
      </c>
      <c r="CB26" s="49">
        <f t="shared" si="5"/>
        <v>-2.492298701602639</v>
      </c>
      <c r="CC26" s="49">
        <f t="shared" si="5"/>
        <v>1.6326064282678223</v>
      </c>
      <c r="CD26" s="49">
        <f t="shared" si="5"/>
        <v>-4.6260009848941838E-2</v>
      </c>
      <c r="CE26" s="49">
        <f t="shared" si="5"/>
        <v>-197.85985248048624</v>
      </c>
      <c r="CF26" s="49">
        <f t="shared" si="5"/>
        <v>-4.8319331419559211</v>
      </c>
      <c r="CG26" s="49">
        <f t="shared" si="5"/>
        <v>-1.282900117728155E-2</v>
      </c>
      <c r="CH26" s="49">
        <f t="shared" si="5"/>
        <v>5.1117219264256919E-3</v>
      </c>
      <c r="CI26" s="49">
        <f t="shared" si="5"/>
        <v>-9.9964135910415752</v>
      </c>
      <c r="CJ26" s="49">
        <f t="shared" si="5"/>
        <v>-25.08029884718465</v>
      </c>
      <c r="CK26" s="49">
        <f t="shared" si="5"/>
        <v>0</v>
      </c>
      <c r="CL26" s="49" t="e">
        <f t="shared" si="5"/>
        <v>#DIV/0!</v>
      </c>
      <c r="CM26" s="49" t="e">
        <f t="shared" si="6"/>
        <v>#DIV/0!</v>
      </c>
      <c r="CN26" s="49" t="e">
        <f t="shared" si="6"/>
        <v>#DIV/0!</v>
      </c>
      <c r="CO26" s="49" t="e">
        <f t="shared" si="6"/>
        <v>#DIV/0!</v>
      </c>
      <c r="CP26" s="49" t="e">
        <f t="shared" si="6"/>
        <v>#DIV/0!</v>
      </c>
      <c r="CQ26" s="49" t="e">
        <f t="shared" si="6"/>
        <v>#DIV/0!</v>
      </c>
      <c r="CR26" s="49" t="e">
        <f t="shared" si="6"/>
        <v>#DIV/0!</v>
      </c>
      <c r="CS26" s="49" t="e">
        <f t="shared" si="6"/>
        <v>#DIV/0!</v>
      </c>
      <c r="CT26" s="49" t="e">
        <f t="shared" si="6"/>
        <v>#DIV/0!</v>
      </c>
      <c r="CU26" s="49" t="e">
        <f t="shared" si="6"/>
        <v>#DIV/0!</v>
      </c>
    </row>
    <row r="27" spans="1:99">
      <c r="A27" s="53" t="str">
        <f>IF( ISBLANK(beam_frmt_noFPM!A61), "", beam_frmt_noFPM!A61)</f>
        <v/>
      </c>
      <c r="B27" s="54">
        <f>IF( ISBLANK(beam_frmt_noFPM!B61), "", beam_frmt_noFPM!B61)</f>
        <v>1.0920000000000001</v>
      </c>
      <c r="C27" s="54">
        <f>IF( ISBLANK(beam_frmt_noFPM!C61), "", beam_frmt_noFPM!C61)</f>
        <v>0</v>
      </c>
      <c r="D27" s="54">
        <f>IF( ISBLANK(beam_frmt_noFPM!D61), "", beam_frmt_noFPM!D61)</f>
        <v>0</v>
      </c>
      <c r="E27" s="54">
        <f>IF( ISBLANK(beam_frmt_noFPM!E61), "", beam_frmt_noFPM!E61)</f>
        <v>1.4180848400036565</v>
      </c>
      <c r="F27" s="54">
        <f>IF( ISBLANK(beam_frmt_noFPM!F61), "", beam_frmt_noFPM!F61)</f>
        <v>-6.4760649867955421E-3</v>
      </c>
      <c r="G27" s="54">
        <f>IF( ISBLANK(beam_frmt_noFPM!G61), "", beam_frmt_noFPM!G61)</f>
        <v>1.1280761177573531E-3</v>
      </c>
      <c r="H27" s="54">
        <f>IF( ISBLANK(beam_frmt_noFPM!H61), "", beam_frmt_noFPM!H61)</f>
        <v>1.8794008317397213E-5</v>
      </c>
      <c r="I27" s="54">
        <f>IF( ISBLANK(beam_frmt_noFPM!I61), "", beam_frmt_noFPM!I61)</f>
        <v>1.5071895104871863E-3</v>
      </c>
      <c r="J27" s="54">
        <f>IF( ISBLANK(beam_frmt_noFPM!J61), "", beam_frmt_noFPM!J61)</f>
        <v>-4.6970320100472332E-5</v>
      </c>
      <c r="K27" s="55">
        <f>IF( ISBLANK(beam_frmt_noFPM!K61), "", beam_frmt_noFPM!K61)</f>
        <v>18940326.334258877</v>
      </c>
      <c r="L27" s="56">
        <f>IF( ISBLANK(beam_frmt_noFPM!L61), "", beam_frmt_noFPM!L61)</f>
        <v>41791.220703837316</v>
      </c>
      <c r="M27" s="55">
        <f>IF( ISBLANK(beam_frmt_noFPM!M61), "", beam_frmt_noFPM!M61)</f>
        <v>82359.49009715041</v>
      </c>
      <c r="N27" s="56">
        <f>IF( ISBLANK(beam_frmt_noFPM!N61), "", beam_frmt_noFPM!N61)</f>
        <v>312.66008996679409</v>
      </c>
      <c r="O27" s="55">
        <f>IF( ISBLANK(beam_frmt_noFPM!O61), "", beam_frmt_noFPM!O61)</f>
        <v>7215.0433561677701</v>
      </c>
      <c r="P27" s="56">
        <f>IF( ISBLANK(beam_frmt_noFPM!P61), "", beam_frmt_noFPM!P61)</f>
        <v>129.44784567403758</v>
      </c>
      <c r="Q27" s="55">
        <f>IF( ISBLANK(beam_frmt_noFPM!Q61), "", beam_frmt_noFPM!Q61)</f>
        <v>190.30726299731683</v>
      </c>
      <c r="R27" s="234">
        <f>IF( ISBLANK(beam_frmt_noFPM!R61), "", beam_frmt_noFPM!R61)</f>
        <v>435084.17256793776</v>
      </c>
      <c r="S27" s="236">
        <f>IF( ISBLANK(beam_frmt_noFPM!S61), "", beam_frmt_noFPM!S61)</f>
        <v>385090.34457640187</v>
      </c>
      <c r="T27" s="55">
        <f>IF( ISBLANK(beam_frmt_noFPM!T61), "", beam_frmt_noFPM!T61)</f>
        <v>1201.6037906452382</v>
      </c>
      <c r="U27" s="55">
        <f>IF( ISBLANK(beam_frmt_noFPM!U61), "", beam_frmt_noFPM!U61)</f>
        <v>2612.3240233424808</v>
      </c>
      <c r="V27" s="206">
        <f>IF( ISBLANK(beam_frmt_noFPM!V61), "", beam_frmt_noFPM!V61)</f>
        <v>1.0920000000000001</v>
      </c>
      <c r="W27" s="124"/>
      <c r="X27" s="124"/>
      <c r="Y27" s="124"/>
      <c r="Z27" s="124"/>
      <c r="AA27" s="124"/>
      <c r="AB27" s="124"/>
      <c r="AC27" s="124"/>
      <c r="AD27" s="124"/>
      <c r="AE27" s="124"/>
      <c r="AF27" s="100"/>
      <c r="AI27" s="2"/>
      <c r="AJ27">
        <v>1.0920000000000001</v>
      </c>
      <c r="AK27">
        <v>0</v>
      </c>
      <c r="AL27">
        <v>0</v>
      </c>
      <c r="AM27" s="1">
        <v>1.4180820000000001</v>
      </c>
      <c r="AN27">
        <v>-6.4419999999999998E-3</v>
      </c>
      <c r="AO27" s="1">
        <v>1.291E-3</v>
      </c>
      <c r="AP27" s="1">
        <v>1.8181150000000001E-5</v>
      </c>
      <c r="AQ27" s="1">
        <v>1.506662E-3</v>
      </c>
      <c r="AR27" s="1">
        <v>1.224185E-5</v>
      </c>
      <c r="AS27" s="1">
        <v>18941050</v>
      </c>
      <c r="AT27" s="1">
        <v>40733.050000000003</v>
      </c>
      <c r="AU27" s="1">
        <v>82973.59</v>
      </c>
      <c r="AV27" s="1">
        <v>309.70850000000002</v>
      </c>
      <c r="AW27" s="1">
        <v>7217.2060000000001</v>
      </c>
      <c r="AX27" s="1">
        <v>-61.873649999999998</v>
      </c>
      <c r="AY27" s="1">
        <v>217.53219999999999</v>
      </c>
      <c r="AZ27" s="235">
        <v>435174.7</v>
      </c>
      <c r="BA27" s="237">
        <v>385154.6</v>
      </c>
      <c r="BB27" s="1">
        <v>1332.4390000000001</v>
      </c>
      <c r="BC27" s="1">
        <v>3438.1950000000002</v>
      </c>
      <c r="BD27" s="1">
        <v>1.0920000000000001</v>
      </c>
      <c r="BE27" s="1"/>
      <c r="BF27" s="1"/>
      <c r="BG27" s="1"/>
      <c r="BH27" s="1"/>
      <c r="BI27" s="1"/>
      <c r="BJ27" s="1"/>
      <c r="BK27" s="1"/>
      <c r="BL27" s="1"/>
      <c r="BM27" s="1"/>
      <c r="BN27" s="67"/>
      <c r="BQ27" s="49">
        <f t="shared" si="7"/>
        <v>0</v>
      </c>
      <c r="BR27" s="49">
        <f t="shared" si="7"/>
        <v>0</v>
      </c>
      <c r="BS27" s="49">
        <f t="shared" si="7"/>
        <v>0</v>
      </c>
      <c r="BT27" s="49">
        <f t="shared" si="3"/>
        <v>2.0027076406498148E-4</v>
      </c>
      <c r="BU27" s="49">
        <f t="shared" si="4"/>
        <v>-3.4064986795542297E-5</v>
      </c>
      <c r="BV27" s="49">
        <f t="shared" si="4"/>
        <v>-1.6292388224264692E-4</v>
      </c>
      <c r="BW27" s="49">
        <f t="shared" si="5"/>
        <v>3.3708446242246053</v>
      </c>
      <c r="BX27" s="49">
        <f t="shared" si="5"/>
        <v>3.5011866442926559E-2</v>
      </c>
      <c r="BY27" s="49">
        <f t="shared" si="5"/>
        <v>-483.68645344022622</v>
      </c>
      <c r="BZ27" s="49">
        <f t="shared" si="5"/>
        <v>-3.8206210380272426E-3</v>
      </c>
      <c r="CA27" s="49">
        <f t="shared" si="5"/>
        <v>2.5978184885180786</v>
      </c>
      <c r="CB27" s="49">
        <f t="shared" si="5"/>
        <v>-0.74011490023462434</v>
      </c>
      <c r="CC27" s="49">
        <f t="shared" si="5"/>
        <v>0.95302194379362337</v>
      </c>
      <c r="CD27" s="49">
        <f t="shared" si="5"/>
        <v>-2.9965111599004658E-2</v>
      </c>
      <c r="CE27" s="49">
        <f t="shared" si="5"/>
        <v>-309.21320412491843</v>
      </c>
      <c r="CF27" s="49">
        <f t="shared" si="5"/>
        <v>-12.515359566392084</v>
      </c>
      <c r="CG27" s="49">
        <f t="shared" si="5"/>
        <v>-2.0802549427219846E-2</v>
      </c>
      <c r="CH27" s="49">
        <f t="shared" si="5"/>
        <v>-1.6683021207096551E-2</v>
      </c>
      <c r="CI27" s="49">
        <f t="shared" si="5"/>
        <v>-9.8192269480825676</v>
      </c>
      <c r="CJ27" s="49">
        <f t="shared" si="5"/>
        <v>-24.020480998242373</v>
      </c>
      <c r="CK27" s="49">
        <f t="shared" si="5"/>
        <v>0</v>
      </c>
      <c r="CL27" s="49" t="e">
        <f t="shared" si="5"/>
        <v>#DIV/0!</v>
      </c>
      <c r="CM27" s="49" t="e">
        <f t="shared" si="6"/>
        <v>#DIV/0!</v>
      </c>
      <c r="CN27" s="49" t="e">
        <f t="shared" si="6"/>
        <v>#DIV/0!</v>
      </c>
      <c r="CO27" s="49" t="e">
        <f t="shared" si="6"/>
        <v>#DIV/0!</v>
      </c>
      <c r="CP27" s="49" t="e">
        <f t="shared" si="6"/>
        <v>#DIV/0!</v>
      </c>
      <c r="CQ27" s="49" t="e">
        <f t="shared" si="6"/>
        <v>#DIV/0!</v>
      </c>
      <c r="CR27" s="49" t="e">
        <f t="shared" si="6"/>
        <v>#DIV/0!</v>
      </c>
      <c r="CS27" s="49" t="e">
        <f t="shared" si="6"/>
        <v>#DIV/0!</v>
      </c>
      <c r="CT27" s="49" t="e">
        <f t="shared" si="6"/>
        <v>#DIV/0!</v>
      </c>
      <c r="CU27" s="49" t="e">
        <f t="shared" si="6"/>
        <v>#DIV/0!</v>
      </c>
    </row>
    <row r="28" spans="1:99">
      <c r="A28" s="53">
        <f>IF( ISBLANK(beam_frmt_noFPM!A62), "", beam_frmt_noFPM!A62)</f>
        <v>13</v>
      </c>
      <c r="B28" s="54">
        <f>IF( ISBLANK(beam_frmt_noFPM!B62), "", beam_frmt_noFPM!B62)</f>
        <v>1.0920000000000001</v>
      </c>
      <c r="C28" s="54">
        <f>IF( ISBLANK(beam_frmt_noFPM!C62), "", beam_frmt_noFPM!C62)</f>
        <v>0</v>
      </c>
      <c r="D28" s="54">
        <f>IF( ISBLANK(beam_frmt_noFPM!D62), "", beam_frmt_noFPM!D62)</f>
        <v>0</v>
      </c>
      <c r="E28" s="54">
        <f>IF( ISBLANK(beam_frmt_noFPM!E62), "", beam_frmt_noFPM!E62)</f>
        <v>1.4180848400036565</v>
      </c>
      <c r="F28" s="54">
        <f>IF( ISBLANK(beam_frmt_noFPM!F62), "", beam_frmt_noFPM!F62)</f>
        <v>-6.4760649867955421E-3</v>
      </c>
      <c r="G28" s="54">
        <f>IF( ISBLANK(beam_frmt_noFPM!G62), "", beam_frmt_noFPM!G62)</f>
        <v>1.1280761177573531E-3</v>
      </c>
      <c r="H28" s="54">
        <f>IF( ISBLANK(beam_frmt_noFPM!H62), "", beam_frmt_noFPM!H62)</f>
        <v>1.8794008317397213E-5</v>
      </c>
      <c r="I28" s="54">
        <f>IF( ISBLANK(beam_frmt_noFPM!I62), "", beam_frmt_noFPM!I62)</f>
        <v>1.5071895104871863E-3</v>
      </c>
      <c r="J28" s="54">
        <f>IF( ISBLANK(beam_frmt_noFPM!J62), "", beam_frmt_noFPM!J62)</f>
        <v>-4.6970320100472332E-5</v>
      </c>
      <c r="K28" s="55">
        <f>IF( ISBLANK(beam_frmt_noFPM!K62), "", beam_frmt_noFPM!K62)</f>
        <v>18940326.334258877</v>
      </c>
      <c r="L28" s="56">
        <f>IF( ISBLANK(beam_frmt_noFPM!L62), "", beam_frmt_noFPM!L62)</f>
        <v>41791.220703837316</v>
      </c>
      <c r="M28" s="55">
        <f>IF( ISBLANK(beam_frmt_noFPM!M62), "", beam_frmt_noFPM!M62)</f>
        <v>82359.49009715041</v>
      </c>
      <c r="N28" s="56">
        <f>IF( ISBLANK(beam_frmt_noFPM!N62), "", beam_frmt_noFPM!N62)</f>
        <v>312.66008996679409</v>
      </c>
      <c r="O28" s="55">
        <f>IF( ISBLANK(beam_frmt_noFPM!O62), "", beam_frmt_noFPM!O62)</f>
        <v>7215.0433561677701</v>
      </c>
      <c r="P28" s="56">
        <f>IF( ISBLANK(beam_frmt_noFPM!P62), "", beam_frmt_noFPM!P62)</f>
        <v>129.44784567403758</v>
      </c>
      <c r="Q28" s="55">
        <f>IF( ISBLANK(beam_frmt_noFPM!Q62), "", beam_frmt_noFPM!Q62)</f>
        <v>190.30726299731683</v>
      </c>
      <c r="R28" s="234">
        <f>IF( ISBLANK(beam_frmt_noFPM!R62), "", beam_frmt_noFPM!R62)</f>
        <v>435084.17256793776</v>
      </c>
      <c r="S28" s="236">
        <f>IF( ISBLANK(beam_frmt_noFPM!S62), "", beam_frmt_noFPM!S62)</f>
        <v>385090.34457640187</v>
      </c>
      <c r="T28" s="55">
        <f>IF( ISBLANK(beam_frmt_noFPM!T62), "", beam_frmt_noFPM!T62)</f>
        <v>1201.6037906452382</v>
      </c>
      <c r="U28" s="55">
        <f>IF( ISBLANK(beam_frmt_noFPM!U62), "", beam_frmt_noFPM!U62)</f>
        <v>2612.3240233424808</v>
      </c>
      <c r="V28" s="206">
        <f>IF( ISBLANK(beam_frmt_noFPM!V62), "", beam_frmt_noFPM!V62)</f>
        <v>1.0920000000000001</v>
      </c>
      <c r="W28" s="124"/>
      <c r="X28" s="124"/>
      <c r="Y28" s="124"/>
      <c r="Z28" s="124"/>
      <c r="AA28" s="124"/>
      <c r="AB28" s="124"/>
      <c r="AC28" s="124"/>
      <c r="AD28" s="124"/>
      <c r="AE28" s="124"/>
      <c r="AF28" s="100"/>
      <c r="AI28" s="2">
        <v>13</v>
      </c>
      <c r="AJ28">
        <v>1.0920000000000001</v>
      </c>
      <c r="AK28">
        <v>0</v>
      </c>
      <c r="AL28">
        <v>0</v>
      </c>
      <c r="AM28" s="1">
        <v>1.4180820000000001</v>
      </c>
      <c r="AN28" s="1">
        <v>-6.4419999999999998E-3</v>
      </c>
      <c r="AO28" s="1">
        <v>1.291E-3</v>
      </c>
      <c r="AP28" s="1">
        <v>1.8181150000000001E-5</v>
      </c>
      <c r="AQ28" s="1">
        <v>1.506662E-3</v>
      </c>
      <c r="AR28" s="1">
        <v>1.224185E-5</v>
      </c>
      <c r="AS28" s="1">
        <v>18941050</v>
      </c>
      <c r="AT28" s="1">
        <v>40733.050000000003</v>
      </c>
      <c r="AU28" s="1">
        <v>82973.59</v>
      </c>
      <c r="AV28" s="1">
        <v>309.70850000000002</v>
      </c>
      <c r="AW28" s="1">
        <v>7217.2060000000001</v>
      </c>
      <c r="AX28" s="1">
        <v>-61.873649999999998</v>
      </c>
      <c r="AY28" s="1">
        <v>217.53219999999999</v>
      </c>
      <c r="AZ28" s="235">
        <v>435174.7</v>
      </c>
      <c r="BA28" s="237">
        <v>385154.6</v>
      </c>
      <c r="BB28" s="1">
        <v>1332.4390000000001</v>
      </c>
      <c r="BC28" s="1">
        <v>3438.1950000000002</v>
      </c>
      <c r="BD28" s="1">
        <v>1.0920000000000001</v>
      </c>
      <c r="BE28" s="1"/>
      <c r="BF28" s="1"/>
      <c r="BG28" s="1"/>
      <c r="BH28" s="1"/>
      <c r="BI28" s="1"/>
      <c r="BJ28" s="1"/>
      <c r="BK28" s="1"/>
      <c r="BL28" s="1"/>
      <c r="BM28" s="1"/>
      <c r="BN28" s="67"/>
      <c r="BQ28" s="49">
        <f t="shared" si="7"/>
        <v>0</v>
      </c>
      <c r="BR28" s="49">
        <f t="shared" si="7"/>
        <v>0</v>
      </c>
      <c r="BS28" s="49">
        <f t="shared" si="7"/>
        <v>0</v>
      </c>
      <c r="BT28" s="49">
        <f t="shared" si="3"/>
        <v>2.0027076406498148E-4</v>
      </c>
      <c r="BU28" s="49">
        <f t="shared" si="4"/>
        <v>-3.4064986795542297E-5</v>
      </c>
      <c r="BV28" s="49">
        <f t="shared" si="4"/>
        <v>-1.6292388224264692E-4</v>
      </c>
      <c r="BW28" s="49">
        <f t="shared" si="5"/>
        <v>3.3708446242246053</v>
      </c>
      <c r="BX28" s="49">
        <f t="shared" si="5"/>
        <v>3.5011866442926559E-2</v>
      </c>
      <c r="BY28" s="49">
        <f t="shared" si="5"/>
        <v>-483.68645344022622</v>
      </c>
      <c r="BZ28" s="49">
        <f t="shared" si="5"/>
        <v>-3.8206210380272426E-3</v>
      </c>
      <c r="CA28" s="49">
        <f t="shared" si="5"/>
        <v>2.5978184885180786</v>
      </c>
      <c r="CB28" s="49">
        <f t="shared" si="5"/>
        <v>-0.74011490023462434</v>
      </c>
      <c r="CC28" s="49">
        <f t="shared" si="5"/>
        <v>0.95302194379362337</v>
      </c>
      <c r="CD28" s="49">
        <f t="shared" si="5"/>
        <v>-2.9965111599004658E-2</v>
      </c>
      <c r="CE28" s="49">
        <f t="shared" si="5"/>
        <v>-309.21320412491843</v>
      </c>
      <c r="CF28" s="49">
        <f t="shared" si="5"/>
        <v>-12.515359566392084</v>
      </c>
      <c r="CG28" s="49">
        <f t="shared" si="5"/>
        <v>-2.0802549427219846E-2</v>
      </c>
      <c r="CH28" s="49">
        <f t="shared" si="5"/>
        <v>-1.6683021207096551E-2</v>
      </c>
      <c r="CI28" s="49">
        <f t="shared" si="5"/>
        <v>-9.8192269480825676</v>
      </c>
      <c r="CJ28" s="49">
        <f t="shared" si="5"/>
        <v>-24.020480998242373</v>
      </c>
      <c r="CK28" s="49">
        <f t="shared" si="5"/>
        <v>0</v>
      </c>
      <c r="CL28" s="49" t="e">
        <f t="shared" si="5"/>
        <v>#DIV/0!</v>
      </c>
      <c r="CM28" s="49" t="e">
        <f t="shared" si="6"/>
        <v>#DIV/0!</v>
      </c>
      <c r="CN28" s="49" t="e">
        <f t="shared" si="6"/>
        <v>#DIV/0!</v>
      </c>
      <c r="CO28" s="49" t="e">
        <f t="shared" si="6"/>
        <v>#DIV/0!</v>
      </c>
      <c r="CP28" s="49" t="e">
        <f t="shared" si="6"/>
        <v>#DIV/0!</v>
      </c>
      <c r="CQ28" s="49" t="e">
        <f t="shared" si="6"/>
        <v>#DIV/0!</v>
      </c>
      <c r="CR28" s="49" t="e">
        <f t="shared" si="6"/>
        <v>#DIV/0!</v>
      </c>
      <c r="CS28" s="49" t="e">
        <f t="shared" si="6"/>
        <v>#DIV/0!</v>
      </c>
      <c r="CT28" s="49" t="e">
        <f t="shared" si="6"/>
        <v>#DIV/0!</v>
      </c>
      <c r="CU28" s="49" t="e">
        <f t="shared" si="6"/>
        <v>#DIV/0!</v>
      </c>
    </row>
    <row r="29" spans="1:99">
      <c r="A29" s="53" t="str">
        <f>IF( ISBLANK(beam_frmt_noFPM!A63), "", beam_frmt_noFPM!A63)</f>
        <v/>
      </c>
      <c r="B29" s="54">
        <f>IF( ISBLANK(beam_frmt_noFPM!B63), "", beam_frmt_noFPM!B63)</f>
        <v>1.1758999999999999</v>
      </c>
      <c r="C29" s="54">
        <f>IF( ISBLANK(beam_frmt_noFPM!C63), "", beam_frmt_noFPM!C63)</f>
        <v>0</v>
      </c>
      <c r="D29" s="54">
        <f>IF( ISBLANK(beam_frmt_noFPM!D63), "", beam_frmt_noFPM!D63)</f>
        <v>0</v>
      </c>
      <c r="E29" s="54">
        <f>IF( ISBLANK(beam_frmt_noFPM!E63), "", beam_frmt_noFPM!E63)</f>
        <v>1.2236783894940915</v>
      </c>
      <c r="F29" s="54">
        <f>IF( ISBLANK(beam_frmt_noFPM!F63), "", beam_frmt_noFPM!F63)</f>
        <v>1.7734140435041244E-5</v>
      </c>
      <c r="G29" s="54">
        <f>IF( ISBLANK(beam_frmt_noFPM!G63), "", beam_frmt_noFPM!G63)</f>
        <v>1.4190250946955398E-3</v>
      </c>
      <c r="H29" s="54">
        <f>IF( ISBLANK(beam_frmt_noFPM!H63), "", beam_frmt_noFPM!H63)</f>
        <v>1.8245418231199204E-5</v>
      </c>
      <c r="I29" s="54">
        <f>IF( ISBLANK(beam_frmt_noFPM!I63), "", beam_frmt_noFPM!I63)</f>
        <v>1.3411793013143459E-3</v>
      </c>
      <c r="J29" s="54">
        <f>IF( ISBLANK(beam_frmt_noFPM!J63), "", beam_frmt_noFPM!J63)</f>
        <v>-1.6717834792001519E-5</v>
      </c>
      <c r="K29" s="55">
        <f>IF( ISBLANK(beam_frmt_noFPM!K63), "", beam_frmt_noFPM!K63)</f>
        <v>18894276.245735459</v>
      </c>
      <c r="L29" s="56">
        <f>IF( ISBLANK(beam_frmt_noFPM!L63), "", beam_frmt_noFPM!L63)</f>
        <v>41752.571647826204</v>
      </c>
      <c r="M29" s="55">
        <f>IF( ISBLANK(beam_frmt_noFPM!M63), "", beam_frmt_noFPM!M63)</f>
        <v>84464.972528935774</v>
      </c>
      <c r="N29" s="56">
        <f>IF( ISBLANK(beam_frmt_noFPM!N63), "", beam_frmt_noFPM!N63)</f>
        <v>305.85715484014747</v>
      </c>
      <c r="O29" s="55">
        <f>IF( ISBLANK(beam_frmt_noFPM!O63), "", beam_frmt_noFPM!O63)</f>
        <v>7207.784537149897</v>
      </c>
      <c r="P29" s="56">
        <f>IF( ISBLANK(beam_frmt_noFPM!P63), "", beam_frmt_noFPM!P63)</f>
        <v>216.96048259824661</v>
      </c>
      <c r="Q29" s="55">
        <f>IF( ISBLANK(beam_frmt_noFPM!Q63), "", beam_frmt_noFPM!Q63)</f>
        <v>186.33152179802639</v>
      </c>
      <c r="R29" s="234">
        <f>IF( ISBLANK(beam_frmt_noFPM!R63), "", beam_frmt_noFPM!R63)</f>
        <v>426445.66685777594</v>
      </c>
      <c r="S29" s="236">
        <f>IF( ISBLANK(beam_frmt_noFPM!S63), "", beam_frmt_noFPM!S63)</f>
        <v>377428.97496559744</v>
      </c>
      <c r="T29" s="55">
        <f>IF( ISBLANK(beam_frmt_noFPM!T63), "", beam_frmt_noFPM!T63)</f>
        <v>1186.5086990657298</v>
      </c>
      <c r="U29" s="55">
        <f>IF( ISBLANK(beam_frmt_noFPM!U63), "", beam_frmt_noFPM!U63)</f>
        <v>2686.6331328779038</v>
      </c>
      <c r="V29" s="206">
        <f>IF( ISBLANK(beam_frmt_noFPM!V63), "", beam_frmt_noFPM!V63)</f>
        <v>1.1758999999999999</v>
      </c>
      <c r="W29" s="124"/>
      <c r="X29" s="124"/>
      <c r="Y29" s="124"/>
      <c r="Z29" s="124"/>
      <c r="AA29" s="124"/>
      <c r="AB29" s="124"/>
      <c r="AC29" s="124"/>
      <c r="AD29" s="124"/>
      <c r="AE29" s="124"/>
      <c r="AF29" s="100"/>
      <c r="AI29" s="2"/>
      <c r="AJ29">
        <v>1.1758999999999999</v>
      </c>
      <c r="AK29">
        <v>0</v>
      </c>
      <c r="AL29">
        <v>0</v>
      </c>
      <c r="AM29" s="1">
        <v>1.2236320000000001</v>
      </c>
      <c r="AN29">
        <v>2.3E-5</v>
      </c>
      <c r="AO29" s="1">
        <v>1.418E-3</v>
      </c>
      <c r="AP29" s="1">
        <v>1.8204780000000001E-5</v>
      </c>
      <c r="AQ29" s="1">
        <v>1.3407919999999999E-3</v>
      </c>
      <c r="AR29" s="1">
        <v>-1.5399310000000001E-5</v>
      </c>
      <c r="AS29" s="1">
        <v>18894430</v>
      </c>
      <c r="AT29" s="1">
        <v>41709.800000000003</v>
      </c>
      <c r="AU29" s="1">
        <v>84486.94</v>
      </c>
      <c r="AV29" s="1">
        <v>305.73849999999999</v>
      </c>
      <c r="AW29" s="1">
        <v>7207.9080000000004</v>
      </c>
      <c r="AX29" s="1">
        <v>-149.298</v>
      </c>
      <c r="AY29" s="1">
        <v>214.96360000000001</v>
      </c>
      <c r="AZ29" s="235">
        <v>426455.9</v>
      </c>
      <c r="BA29" s="237">
        <v>377438</v>
      </c>
      <c r="BB29" s="1">
        <v>1361.894</v>
      </c>
      <c r="BC29" s="1">
        <v>3489.7930000000001</v>
      </c>
      <c r="BD29" s="1">
        <v>1.1758999999999999</v>
      </c>
      <c r="BE29" s="1"/>
      <c r="BF29" s="1"/>
      <c r="BG29" s="1"/>
      <c r="BH29" s="1"/>
      <c r="BI29" s="1"/>
      <c r="BJ29" s="1"/>
      <c r="BK29" s="1"/>
      <c r="BL29" s="1"/>
      <c r="BM29" s="1"/>
      <c r="BN29" s="67"/>
      <c r="BQ29" s="49">
        <f t="shared" si="7"/>
        <v>0</v>
      </c>
      <c r="BR29" s="49">
        <f t="shared" si="7"/>
        <v>0</v>
      </c>
      <c r="BS29" s="49">
        <f t="shared" si="7"/>
        <v>0</v>
      </c>
      <c r="BT29" s="49">
        <f t="shared" si="3"/>
        <v>3.7911311645506545E-3</v>
      </c>
      <c r="BU29" s="49">
        <f t="shared" si="4"/>
        <v>-5.2658595649587559E-6</v>
      </c>
      <c r="BV29" s="49">
        <f t="shared" si="4"/>
        <v>1.0250946955398053E-6</v>
      </c>
      <c r="BW29" s="49">
        <f t="shared" si="5"/>
        <v>0.22322835650418765</v>
      </c>
      <c r="BX29" s="49">
        <f t="shared" si="5"/>
        <v>2.8886010234697123E-2</v>
      </c>
      <c r="BY29" s="49">
        <f t="shared" si="5"/>
        <v>8.5622329312256085</v>
      </c>
      <c r="BZ29" s="49">
        <f t="shared" si="5"/>
        <v>-8.1375444795619837E-4</v>
      </c>
      <c r="CA29" s="49">
        <f t="shared" si="5"/>
        <v>0.10254579937137298</v>
      </c>
      <c r="CB29" s="49">
        <f t="shared" si="5"/>
        <v>-2.6001025796683421E-2</v>
      </c>
      <c r="CC29" s="49">
        <f t="shared" si="5"/>
        <v>3.8809256978589605E-2</v>
      </c>
      <c r="CD29" s="49">
        <f t="shared" si="5"/>
        <v>-1.712880493249237E-3</v>
      </c>
      <c r="CE29" s="49">
        <f t="shared" si="5"/>
        <v>-245.32042130386648</v>
      </c>
      <c r="CF29" s="49">
        <f t="shared" si="5"/>
        <v>-13.319500697780287</v>
      </c>
      <c r="CG29" s="49">
        <f t="shared" si="5"/>
        <v>-2.3995780628389141E-3</v>
      </c>
      <c r="CH29" s="49">
        <f t="shared" si="5"/>
        <v>-2.3911303055217867E-3</v>
      </c>
      <c r="CI29" s="49">
        <f t="shared" si="5"/>
        <v>-12.87804344055192</v>
      </c>
      <c r="CJ29" s="49">
        <f t="shared" si="5"/>
        <v>-23.014541754255806</v>
      </c>
      <c r="CK29" s="49">
        <f t="shared" si="5"/>
        <v>0</v>
      </c>
      <c r="CL29" s="49" t="e">
        <f t="shared" si="5"/>
        <v>#DIV/0!</v>
      </c>
      <c r="CM29" s="49" t="e">
        <f t="shared" si="6"/>
        <v>#DIV/0!</v>
      </c>
      <c r="CN29" s="49" t="e">
        <f t="shared" si="6"/>
        <v>#DIV/0!</v>
      </c>
      <c r="CO29" s="49" t="e">
        <f t="shared" si="6"/>
        <v>#DIV/0!</v>
      </c>
      <c r="CP29" s="49" t="e">
        <f t="shared" si="6"/>
        <v>#DIV/0!</v>
      </c>
      <c r="CQ29" s="49" t="e">
        <f t="shared" si="6"/>
        <v>#DIV/0!</v>
      </c>
      <c r="CR29" s="49" t="e">
        <f t="shared" si="6"/>
        <v>#DIV/0!</v>
      </c>
      <c r="CS29" s="49" t="e">
        <f t="shared" si="6"/>
        <v>#DIV/0!</v>
      </c>
      <c r="CT29" s="49" t="e">
        <f t="shared" si="6"/>
        <v>#DIV/0!</v>
      </c>
      <c r="CU29" s="49" t="e">
        <f t="shared" si="6"/>
        <v>#DIV/0!</v>
      </c>
    </row>
    <row r="30" spans="1:99">
      <c r="A30" s="53">
        <f>IF( ISBLANK(beam_frmt_noFPM!A64), "", beam_frmt_noFPM!A64)</f>
        <v>14</v>
      </c>
      <c r="B30" s="54">
        <f>IF( ISBLANK(beam_frmt_noFPM!B64), "", beam_frmt_noFPM!B64)</f>
        <v>1.1758999999999999</v>
      </c>
      <c r="C30" s="54">
        <f>IF( ISBLANK(beam_frmt_noFPM!C64), "", beam_frmt_noFPM!C64)</f>
        <v>0</v>
      </c>
      <c r="D30" s="54">
        <f>IF( ISBLANK(beam_frmt_noFPM!D64), "", beam_frmt_noFPM!D64)</f>
        <v>0</v>
      </c>
      <c r="E30" s="54">
        <f>IF( ISBLANK(beam_frmt_noFPM!E64), "", beam_frmt_noFPM!E64)</f>
        <v>1.2236783894940915</v>
      </c>
      <c r="F30" s="54">
        <f>IF( ISBLANK(beam_frmt_noFPM!F64), "", beam_frmt_noFPM!F64)</f>
        <v>1.7734140435041244E-5</v>
      </c>
      <c r="G30" s="54">
        <f>IF( ISBLANK(beam_frmt_noFPM!G64), "", beam_frmt_noFPM!G64)</f>
        <v>1.4190250946955398E-3</v>
      </c>
      <c r="H30" s="54">
        <f>IF( ISBLANK(beam_frmt_noFPM!H64), "", beam_frmt_noFPM!H64)</f>
        <v>1.8245418231199204E-5</v>
      </c>
      <c r="I30" s="54">
        <f>IF( ISBLANK(beam_frmt_noFPM!I64), "", beam_frmt_noFPM!I64)</f>
        <v>1.3411793013143459E-3</v>
      </c>
      <c r="J30" s="54">
        <f>IF( ISBLANK(beam_frmt_noFPM!J64), "", beam_frmt_noFPM!J64)</f>
        <v>-1.6717834792001519E-5</v>
      </c>
      <c r="K30" s="55">
        <f>IF( ISBLANK(beam_frmt_noFPM!K64), "", beam_frmt_noFPM!K64)</f>
        <v>18894276.245735459</v>
      </c>
      <c r="L30" s="56">
        <f>IF( ISBLANK(beam_frmt_noFPM!L64), "", beam_frmt_noFPM!L64)</f>
        <v>41752.571647826204</v>
      </c>
      <c r="M30" s="55">
        <f>IF( ISBLANK(beam_frmt_noFPM!M64), "", beam_frmt_noFPM!M64)</f>
        <v>84464.972528935774</v>
      </c>
      <c r="N30" s="56">
        <f>IF( ISBLANK(beam_frmt_noFPM!N64), "", beam_frmt_noFPM!N64)</f>
        <v>305.85715484014747</v>
      </c>
      <c r="O30" s="55">
        <f>IF( ISBLANK(beam_frmt_noFPM!O64), "", beam_frmt_noFPM!O64)</f>
        <v>7207.784537149897</v>
      </c>
      <c r="P30" s="56">
        <f>IF( ISBLANK(beam_frmt_noFPM!P64), "", beam_frmt_noFPM!P64)</f>
        <v>216.96048259824661</v>
      </c>
      <c r="Q30" s="55">
        <f>IF( ISBLANK(beam_frmt_noFPM!Q64), "", beam_frmt_noFPM!Q64)</f>
        <v>186.33152179802639</v>
      </c>
      <c r="R30" s="234">
        <f>IF( ISBLANK(beam_frmt_noFPM!R64), "", beam_frmt_noFPM!R64)</f>
        <v>426445.66685777594</v>
      </c>
      <c r="S30" s="236">
        <f>IF( ISBLANK(beam_frmt_noFPM!S64), "", beam_frmt_noFPM!S64)</f>
        <v>377428.97496559744</v>
      </c>
      <c r="T30" s="55">
        <f>IF( ISBLANK(beam_frmt_noFPM!T64), "", beam_frmt_noFPM!T64)</f>
        <v>1186.5086990657298</v>
      </c>
      <c r="U30" s="55">
        <f>IF( ISBLANK(beam_frmt_noFPM!U64), "", beam_frmt_noFPM!U64)</f>
        <v>2686.6331328779038</v>
      </c>
      <c r="V30" s="206">
        <f>IF( ISBLANK(beam_frmt_noFPM!V64), "", beam_frmt_noFPM!V64)</f>
        <v>1.1758999999999999</v>
      </c>
      <c r="W30" s="124"/>
      <c r="X30" s="124"/>
      <c r="Y30" s="124"/>
      <c r="Z30" s="124"/>
      <c r="AA30" s="124"/>
      <c r="AB30" s="124"/>
      <c r="AC30" s="124"/>
      <c r="AD30" s="124"/>
      <c r="AE30" s="124"/>
      <c r="AF30" s="100"/>
      <c r="AI30" s="2">
        <v>14</v>
      </c>
      <c r="AJ30">
        <v>1.1758999999999999</v>
      </c>
      <c r="AK30">
        <v>0</v>
      </c>
      <c r="AL30">
        <v>0</v>
      </c>
      <c r="AM30" s="1">
        <v>1.2236320000000001</v>
      </c>
      <c r="AN30" s="1">
        <v>2.3E-5</v>
      </c>
      <c r="AO30" s="1">
        <v>1.418E-3</v>
      </c>
      <c r="AP30" s="1">
        <v>1.8204780000000001E-5</v>
      </c>
      <c r="AQ30" s="1">
        <v>1.3407919999999999E-3</v>
      </c>
      <c r="AR30" s="1">
        <v>-1.5399310000000001E-5</v>
      </c>
      <c r="AS30" s="1">
        <v>18894430</v>
      </c>
      <c r="AT30" s="1">
        <v>41709.800000000003</v>
      </c>
      <c r="AU30" s="1">
        <v>84486.94</v>
      </c>
      <c r="AV30" s="1">
        <v>305.73849999999999</v>
      </c>
      <c r="AW30" s="1">
        <v>7207.9080000000004</v>
      </c>
      <c r="AX30" s="1">
        <v>-149.298</v>
      </c>
      <c r="AY30" s="1">
        <v>214.96360000000001</v>
      </c>
      <c r="AZ30" s="235">
        <v>426455.9</v>
      </c>
      <c r="BA30" s="237">
        <v>377438</v>
      </c>
      <c r="BB30" s="1">
        <v>1361.894</v>
      </c>
      <c r="BC30" s="1">
        <v>3489.7930000000001</v>
      </c>
      <c r="BD30" s="1">
        <v>1.1758999999999999</v>
      </c>
      <c r="BE30" s="1"/>
      <c r="BF30" s="1"/>
      <c r="BG30" s="1"/>
      <c r="BH30" s="1"/>
      <c r="BI30" s="1"/>
      <c r="BJ30" s="1"/>
      <c r="BK30" s="1"/>
      <c r="BL30" s="1"/>
      <c r="BM30" s="1"/>
      <c r="BN30" s="67"/>
      <c r="BQ30" s="49">
        <f t="shared" si="7"/>
        <v>0</v>
      </c>
      <c r="BR30" s="49">
        <f t="shared" si="7"/>
        <v>0</v>
      </c>
      <c r="BS30" s="49">
        <f t="shared" si="7"/>
        <v>0</v>
      </c>
      <c r="BT30" s="49">
        <f t="shared" si="3"/>
        <v>3.7911311645506545E-3</v>
      </c>
      <c r="BU30" s="49">
        <f t="shared" si="4"/>
        <v>-5.2658595649587559E-6</v>
      </c>
      <c r="BV30" s="49">
        <f t="shared" si="4"/>
        <v>1.0250946955398053E-6</v>
      </c>
      <c r="BW30" s="49">
        <f t="shared" si="5"/>
        <v>0.22322835650418765</v>
      </c>
      <c r="BX30" s="49">
        <f t="shared" si="5"/>
        <v>2.8886010234697123E-2</v>
      </c>
      <c r="BY30" s="49">
        <f t="shared" si="5"/>
        <v>8.5622329312256085</v>
      </c>
      <c r="BZ30" s="49">
        <f t="shared" si="5"/>
        <v>-8.1375444795619837E-4</v>
      </c>
      <c r="CA30" s="49">
        <f t="shared" si="5"/>
        <v>0.10254579937137298</v>
      </c>
      <c r="CB30" s="49">
        <f t="shared" si="5"/>
        <v>-2.6001025796683421E-2</v>
      </c>
      <c r="CC30" s="49">
        <f t="shared" si="5"/>
        <v>3.8809256978589605E-2</v>
      </c>
      <c r="CD30" s="49">
        <f t="shared" si="5"/>
        <v>-1.712880493249237E-3</v>
      </c>
      <c r="CE30" s="49">
        <f t="shared" si="5"/>
        <v>-245.32042130386648</v>
      </c>
      <c r="CF30" s="49">
        <f t="shared" si="5"/>
        <v>-13.319500697780287</v>
      </c>
      <c r="CG30" s="49">
        <f t="shared" si="5"/>
        <v>-2.3995780628389141E-3</v>
      </c>
      <c r="CH30" s="49">
        <f t="shared" si="5"/>
        <v>-2.3911303055217867E-3</v>
      </c>
      <c r="CI30" s="49">
        <f t="shared" si="5"/>
        <v>-12.87804344055192</v>
      </c>
      <c r="CJ30" s="49">
        <f t="shared" si="5"/>
        <v>-23.014541754255806</v>
      </c>
      <c r="CK30" s="49">
        <f t="shared" si="5"/>
        <v>0</v>
      </c>
      <c r="CL30" s="49" t="e">
        <f t="shared" si="5"/>
        <v>#DIV/0!</v>
      </c>
      <c r="CM30" s="49" t="e">
        <f t="shared" si="6"/>
        <v>#DIV/0!</v>
      </c>
      <c r="CN30" s="49" t="e">
        <f t="shared" si="6"/>
        <v>#DIV/0!</v>
      </c>
      <c r="CO30" s="49" t="e">
        <f t="shared" si="6"/>
        <v>#DIV/0!</v>
      </c>
      <c r="CP30" s="49" t="e">
        <f t="shared" si="6"/>
        <v>#DIV/0!</v>
      </c>
      <c r="CQ30" s="49" t="e">
        <f t="shared" si="6"/>
        <v>#DIV/0!</v>
      </c>
      <c r="CR30" s="49" t="e">
        <f t="shared" si="6"/>
        <v>#DIV/0!</v>
      </c>
      <c r="CS30" s="49" t="e">
        <f t="shared" si="6"/>
        <v>#DIV/0!</v>
      </c>
      <c r="CT30" s="49" t="e">
        <f t="shared" si="6"/>
        <v>#DIV/0!</v>
      </c>
      <c r="CU30" t="e">
        <f xml:space="preserve"> (AF30 - BN30)/BN30 * 100</f>
        <v>#DIV/0!</v>
      </c>
    </row>
    <row r="31" spans="1:99">
      <c r="A31" s="53" t="str">
        <f>IF( ISBLANK(beam_frmt_noFPM!A65), "", beam_frmt_noFPM!A65)</f>
        <v/>
      </c>
      <c r="B31" s="54">
        <f>IF( ISBLANK(beam_frmt_noFPM!B65), "", beam_frmt_noFPM!B65)</f>
        <v>1.2613000000000001</v>
      </c>
      <c r="C31" s="54">
        <f>IF( ISBLANK(beam_frmt_noFPM!C65), "", beam_frmt_noFPM!C65)</f>
        <v>0</v>
      </c>
      <c r="D31" s="54">
        <f>IF( ISBLANK(beam_frmt_noFPM!D65), "", beam_frmt_noFPM!D65)</f>
        <v>0</v>
      </c>
      <c r="E31" s="54">
        <f>IF( ISBLANK(beam_frmt_noFPM!E65), "", beam_frmt_noFPM!E65)</f>
        <v>1.2830642987727099</v>
      </c>
      <c r="F31" s="54">
        <f>IF( ISBLANK(beam_frmt_noFPM!F65), "", beam_frmt_noFPM!F65)</f>
        <v>-2.4982796898985649E-3</v>
      </c>
      <c r="G31" s="54">
        <f>IF( ISBLANK(beam_frmt_noFPM!G65), "", beam_frmt_noFPM!G65)</f>
        <v>1.1743535146974311E-3</v>
      </c>
      <c r="H31" s="54">
        <f>IF( ISBLANK(beam_frmt_noFPM!H65), "", beam_frmt_noFPM!H65)</f>
        <v>1.4415944675758141E-5</v>
      </c>
      <c r="I31" s="54">
        <f>IF( ISBLANK(beam_frmt_noFPM!I65), "", beam_frmt_noFPM!I65)</f>
        <v>1.3598050068337687E-3</v>
      </c>
      <c r="J31" s="54">
        <f>IF( ISBLANK(beam_frmt_noFPM!J65), "", beam_frmt_noFPM!J65)</f>
        <v>8.767261299905913E-7</v>
      </c>
      <c r="K31" s="55">
        <f>IF( ISBLANK(beam_frmt_noFPM!K65), "", beam_frmt_noFPM!K65)</f>
        <v>17238929.742110338</v>
      </c>
      <c r="L31" s="56">
        <f>IF( ISBLANK(beam_frmt_noFPM!L65), "", beam_frmt_noFPM!L65)</f>
        <v>31086.157375432929</v>
      </c>
      <c r="M31" s="55">
        <f>IF( ISBLANK(beam_frmt_noFPM!M65), "", beam_frmt_noFPM!M65)</f>
        <v>88565.924144660297</v>
      </c>
      <c r="N31" s="56">
        <f>IF( ISBLANK(beam_frmt_noFPM!N65), "", beam_frmt_noFPM!N65)</f>
        <v>218.1683615776497</v>
      </c>
      <c r="O31" s="55">
        <f>IF( ISBLANK(beam_frmt_noFPM!O65), "", beam_frmt_noFPM!O65)</f>
        <v>6821.9127384754647</v>
      </c>
      <c r="P31" s="56">
        <f>IF( ISBLANK(beam_frmt_noFPM!P65), "", beam_frmt_noFPM!P65)</f>
        <v>260.19373206026546</v>
      </c>
      <c r="Q31" s="55">
        <f>IF( ISBLANK(beam_frmt_noFPM!Q65), "", beam_frmt_noFPM!Q65)</f>
        <v>143.91695587557757</v>
      </c>
      <c r="R31" s="234">
        <f>IF( ISBLANK(beam_frmt_noFPM!R65), "", beam_frmt_noFPM!R65)</f>
        <v>328483.48768778367</v>
      </c>
      <c r="S31" s="236">
        <f>IF( ISBLANK(beam_frmt_noFPM!S65), "", beam_frmt_noFPM!S65)</f>
        <v>290739.89902961976</v>
      </c>
      <c r="T31" s="55">
        <f>IF( ISBLANK(beam_frmt_noFPM!T65), "", beam_frmt_noFPM!T65)</f>
        <v>771.9276739646084</v>
      </c>
      <c r="U31" s="55">
        <f>IF( ISBLANK(beam_frmt_noFPM!U65), "", beam_frmt_noFPM!U65)</f>
        <v>1823.1946998850851</v>
      </c>
      <c r="V31" s="206">
        <f>IF( ISBLANK(beam_frmt_noFPM!V65), "", beam_frmt_noFPM!V65)</f>
        <v>1.2613000000000001</v>
      </c>
      <c r="W31" s="124"/>
      <c r="X31" s="124"/>
      <c r="Y31" s="124"/>
      <c r="Z31" s="124"/>
      <c r="AA31" s="124"/>
      <c r="AB31" s="124"/>
      <c r="AC31" s="124"/>
      <c r="AD31" s="124"/>
      <c r="AE31" s="124"/>
      <c r="AF31" s="100"/>
      <c r="AI31" s="2"/>
      <c r="AJ31">
        <v>1.2613000000000001</v>
      </c>
      <c r="AK31">
        <v>0</v>
      </c>
      <c r="AL31">
        <v>0</v>
      </c>
      <c r="AM31" s="1">
        <v>1.283093</v>
      </c>
      <c r="AN31">
        <v>-2.5309999999999998E-3</v>
      </c>
      <c r="AO31" s="1">
        <v>1.1019999999999999E-3</v>
      </c>
      <c r="AP31" s="1">
        <v>1.464571E-5</v>
      </c>
      <c r="AQ31" s="1">
        <v>1.3537779999999999E-3</v>
      </c>
      <c r="AR31" s="1">
        <v>-2.4025040000000001E-5</v>
      </c>
      <c r="AS31" s="1">
        <v>17237190</v>
      </c>
      <c r="AT31" s="1">
        <v>31753.279999999999</v>
      </c>
      <c r="AU31" s="1">
        <v>88919.07</v>
      </c>
      <c r="AV31" s="1">
        <v>216.8306</v>
      </c>
      <c r="AW31" s="1">
        <v>6822.558</v>
      </c>
      <c r="AX31" s="1">
        <v>-205.16329999999999</v>
      </c>
      <c r="AY31" s="1">
        <v>159.90100000000001</v>
      </c>
      <c r="AZ31" s="235">
        <v>328444.79999999999</v>
      </c>
      <c r="BA31" s="237">
        <v>290692.5</v>
      </c>
      <c r="BB31" s="1">
        <v>882.75139999999999</v>
      </c>
      <c r="BC31" s="1">
        <v>2294.5300000000002</v>
      </c>
      <c r="BD31" s="1">
        <v>1.2613000000000001</v>
      </c>
      <c r="BE31" s="1"/>
      <c r="BF31" s="1"/>
      <c r="BG31" s="1"/>
      <c r="BH31" s="1"/>
      <c r="BI31" s="1"/>
      <c r="BJ31" s="1"/>
      <c r="BK31" s="1"/>
      <c r="BL31" s="1"/>
      <c r="BM31" s="1"/>
      <c r="BN31" s="67"/>
      <c r="BQ31" s="49">
        <f t="shared" si="7"/>
        <v>0</v>
      </c>
      <c r="BR31" s="49">
        <f t="shared" si="7"/>
        <v>0</v>
      </c>
      <c r="BS31" s="49">
        <f t="shared" si="7"/>
        <v>0</v>
      </c>
      <c r="BT31" s="49">
        <f t="shared" si="3"/>
        <v>-2.2368781756389451E-3</v>
      </c>
      <c r="BU31" s="49">
        <f t="shared" si="4"/>
        <v>3.2720310101434953E-5</v>
      </c>
      <c r="BV31" s="49">
        <f t="shared" si="4"/>
        <v>7.2353514697431204E-5</v>
      </c>
      <c r="BW31" s="49">
        <f t="shared" si="5"/>
        <v>-1.5688233908896132</v>
      </c>
      <c r="BX31" s="49">
        <f t="shared" si="5"/>
        <v>0.44519905285569883</v>
      </c>
      <c r="BY31" s="49">
        <f t="shared" si="5"/>
        <v>-103.64921819064857</v>
      </c>
      <c r="BZ31" s="49">
        <f t="shared" si="5"/>
        <v>1.0092956626561882E-2</v>
      </c>
      <c r="CA31" s="49">
        <f t="shared" si="5"/>
        <v>-2.1009565769806131</v>
      </c>
      <c r="CB31" s="49">
        <f t="shared" si="5"/>
        <v>-0.39715423849991871</v>
      </c>
      <c r="CC31" s="49">
        <f t="shared" si="5"/>
        <v>0.6169616178019619</v>
      </c>
      <c r="CD31" s="49">
        <f t="shared" si="5"/>
        <v>-9.4577653210902966E-3</v>
      </c>
      <c r="CE31" s="49">
        <f t="shared" si="5"/>
        <v>-226.82274659272173</v>
      </c>
      <c r="CF31" s="49">
        <f t="shared" si="5"/>
        <v>-9.9962127343934295</v>
      </c>
      <c r="CG31" s="49">
        <f t="shared" si="5"/>
        <v>1.1779053217976556E-2</v>
      </c>
      <c r="CH31" s="49">
        <f t="shared" si="5"/>
        <v>1.6305556428101498E-2</v>
      </c>
      <c r="CI31" s="49">
        <f t="shared" si="5"/>
        <v>-12.554352905630237</v>
      </c>
      <c r="CJ31" s="49">
        <f t="shared" si="5"/>
        <v>-20.541692639229602</v>
      </c>
      <c r="CK31" s="49">
        <f t="shared" si="5"/>
        <v>0</v>
      </c>
      <c r="CL31" s="49" t="e">
        <f t="shared" si="5"/>
        <v>#DIV/0!</v>
      </c>
      <c r="CM31" s="49" t="e">
        <f t="shared" si="6"/>
        <v>#DIV/0!</v>
      </c>
      <c r="CN31" s="49" t="e">
        <f t="shared" si="6"/>
        <v>#DIV/0!</v>
      </c>
      <c r="CO31" s="49" t="e">
        <f t="shared" si="6"/>
        <v>#DIV/0!</v>
      </c>
      <c r="CP31" s="49" t="e">
        <f t="shared" si="6"/>
        <v>#DIV/0!</v>
      </c>
      <c r="CQ31" s="49" t="e">
        <f t="shared" si="6"/>
        <v>#DIV/0!</v>
      </c>
      <c r="CR31" s="49" t="e">
        <f t="shared" si="6"/>
        <v>#DIV/0!</v>
      </c>
      <c r="CS31" s="49" t="e">
        <f t="shared" si="6"/>
        <v>#DIV/0!</v>
      </c>
      <c r="CT31" s="49" t="e">
        <f t="shared" si="6"/>
        <v>#DIV/0!</v>
      </c>
      <c r="CU31" s="49" t="e">
        <f t="shared" si="6"/>
        <v>#DIV/0!</v>
      </c>
    </row>
    <row r="32" spans="1:99">
      <c r="A32" s="53">
        <f>IF( ISBLANK(beam_frmt_noFPM!A66), "", beam_frmt_noFPM!A66)</f>
        <v>15</v>
      </c>
      <c r="B32" s="54">
        <f>IF( ISBLANK(beam_frmt_noFPM!B66), "", beam_frmt_noFPM!B66)</f>
        <v>1.2613000000000001</v>
      </c>
      <c r="C32" s="54">
        <f>IF( ISBLANK(beam_frmt_noFPM!C66), "", beam_frmt_noFPM!C66)</f>
        <v>0</v>
      </c>
      <c r="D32" s="54">
        <f>IF( ISBLANK(beam_frmt_noFPM!D66), "", beam_frmt_noFPM!D66)</f>
        <v>0</v>
      </c>
      <c r="E32" s="54">
        <f>IF( ISBLANK(beam_frmt_noFPM!E66), "", beam_frmt_noFPM!E66)</f>
        <v>1.2830642987727099</v>
      </c>
      <c r="F32" s="54">
        <f>IF( ISBLANK(beam_frmt_noFPM!F66), "", beam_frmt_noFPM!F66)</f>
        <v>-2.4982796898985649E-3</v>
      </c>
      <c r="G32" s="54">
        <f>IF( ISBLANK(beam_frmt_noFPM!G66), "", beam_frmt_noFPM!G66)</f>
        <v>1.1743535146974311E-3</v>
      </c>
      <c r="H32" s="54">
        <f>IF( ISBLANK(beam_frmt_noFPM!H66), "", beam_frmt_noFPM!H66)</f>
        <v>1.4415944675758141E-5</v>
      </c>
      <c r="I32" s="54">
        <f>IF( ISBLANK(beam_frmt_noFPM!I66), "", beam_frmt_noFPM!I66)</f>
        <v>1.3598050068337687E-3</v>
      </c>
      <c r="J32" s="54">
        <f>IF( ISBLANK(beam_frmt_noFPM!J66), "", beam_frmt_noFPM!J66)</f>
        <v>8.767261299905913E-7</v>
      </c>
      <c r="K32" s="55">
        <f>IF( ISBLANK(beam_frmt_noFPM!K66), "", beam_frmt_noFPM!K66)</f>
        <v>17238929.742110338</v>
      </c>
      <c r="L32" s="56">
        <f>IF( ISBLANK(beam_frmt_noFPM!L66), "", beam_frmt_noFPM!L66)</f>
        <v>31086.157375432929</v>
      </c>
      <c r="M32" s="55">
        <f>IF( ISBLANK(beam_frmt_noFPM!M66), "", beam_frmt_noFPM!M66)</f>
        <v>88565.924144660297</v>
      </c>
      <c r="N32" s="56">
        <f>IF( ISBLANK(beam_frmt_noFPM!N66), "", beam_frmt_noFPM!N66)</f>
        <v>218.1683615776497</v>
      </c>
      <c r="O32" s="55">
        <f>IF( ISBLANK(beam_frmt_noFPM!O66), "", beam_frmt_noFPM!O66)</f>
        <v>6821.9127384754647</v>
      </c>
      <c r="P32" s="56">
        <f>IF( ISBLANK(beam_frmt_noFPM!P66), "", beam_frmt_noFPM!P66)</f>
        <v>260.19373206026546</v>
      </c>
      <c r="Q32" s="55">
        <f>IF( ISBLANK(beam_frmt_noFPM!Q66), "", beam_frmt_noFPM!Q66)</f>
        <v>143.91695587557757</v>
      </c>
      <c r="R32" s="234">
        <f>IF( ISBLANK(beam_frmt_noFPM!R66), "", beam_frmt_noFPM!R66)</f>
        <v>328483.48768778367</v>
      </c>
      <c r="S32" s="236">
        <f>IF( ISBLANK(beam_frmt_noFPM!S66), "", beam_frmt_noFPM!S66)</f>
        <v>290739.89902961976</v>
      </c>
      <c r="T32" s="55">
        <f>IF( ISBLANK(beam_frmt_noFPM!T66), "", beam_frmt_noFPM!T66)</f>
        <v>771.9276739646084</v>
      </c>
      <c r="U32" s="55">
        <f>IF( ISBLANK(beam_frmt_noFPM!U66), "", beam_frmt_noFPM!U66)</f>
        <v>1823.1946998850851</v>
      </c>
      <c r="V32" s="206">
        <f>IF( ISBLANK(beam_frmt_noFPM!V66), "", beam_frmt_noFPM!V66)</f>
        <v>1.2613000000000001</v>
      </c>
      <c r="W32" s="124"/>
      <c r="X32" s="124"/>
      <c r="Y32" s="124"/>
      <c r="Z32" s="124"/>
      <c r="AA32" s="124"/>
      <c r="AB32" s="124"/>
      <c r="AC32" s="124"/>
      <c r="AD32" s="124"/>
      <c r="AE32" s="124"/>
      <c r="AF32" s="100"/>
      <c r="AI32" s="2">
        <v>15</v>
      </c>
      <c r="AJ32">
        <v>1.2613000000000001</v>
      </c>
      <c r="AK32">
        <v>0</v>
      </c>
      <c r="AL32">
        <v>0</v>
      </c>
      <c r="AM32" s="1">
        <v>1.283093</v>
      </c>
      <c r="AN32" s="1">
        <v>-2.5309999999999998E-3</v>
      </c>
      <c r="AO32" s="1">
        <v>1.1019999999999999E-3</v>
      </c>
      <c r="AP32" s="1">
        <v>1.464571E-5</v>
      </c>
      <c r="AQ32" s="1">
        <v>1.3537779999999999E-3</v>
      </c>
      <c r="AR32" s="1">
        <v>-2.4025040000000001E-5</v>
      </c>
      <c r="AS32" s="1">
        <v>17237190</v>
      </c>
      <c r="AT32" s="1">
        <v>31753.279999999999</v>
      </c>
      <c r="AU32" s="1">
        <v>88919.07</v>
      </c>
      <c r="AV32" s="1">
        <v>216.8306</v>
      </c>
      <c r="AW32" s="1">
        <v>6822.558</v>
      </c>
      <c r="AX32" s="1">
        <v>-205.16329999999999</v>
      </c>
      <c r="AY32" s="1">
        <v>159.90100000000001</v>
      </c>
      <c r="AZ32" s="235">
        <v>328444.79999999999</v>
      </c>
      <c r="BA32" s="237">
        <v>290692.5</v>
      </c>
      <c r="BB32" s="1">
        <v>882.75139999999999</v>
      </c>
      <c r="BC32" s="1">
        <v>2294.5300000000002</v>
      </c>
      <c r="BD32" s="1">
        <v>1.2613000000000001</v>
      </c>
      <c r="BE32" s="1"/>
      <c r="BF32" s="1"/>
      <c r="BG32" s="1"/>
      <c r="BH32" s="1"/>
      <c r="BI32" s="1"/>
      <c r="BJ32" s="1"/>
      <c r="BK32" s="1"/>
      <c r="BL32" s="1"/>
      <c r="BM32" s="1"/>
      <c r="BN32" s="67"/>
      <c r="BQ32" s="49">
        <f t="shared" si="7"/>
        <v>0</v>
      </c>
      <c r="BR32" s="49">
        <f t="shared" si="7"/>
        <v>0</v>
      </c>
      <c r="BS32" s="49">
        <f t="shared" si="7"/>
        <v>0</v>
      </c>
      <c r="BT32" s="49">
        <f t="shared" si="3"/>
        <v>-2.2368781756389451E-3</v>
      </c>
      <c r="BU32" s="49">
        <f t="shared" si="4"/>
        <v>3.2720310101434953E-5</v>
      </c>
      <c r="BV32" s="49">
        <f t="shared" si="4"/>
        <v>7.2353514697431204E-5</v>
      </c>
      <c r="BW32" s="49">
        <f t="shared" si="5"/>
        <v>-1.5688233908896132</v>
      </c>
      <c r="BX32" s="49">
        <f t="shared" si="5"/>
        <v>0.44519905285569883</v>
      </c>
      <c r="BY32" s="49">
        <f t="shared" si="5"/>
        <v>-103.64921819064857</v>
      </c>
      <c r="BZ32" s="49">
        <f t="shared" si="5"/>
        <v>1.0092956626561882E-2</v>
      </c>
      <c r="CA32" s="49">
        <f t="shared" si="5"/>
        <v>-2.1009565769806131</v>
      </c>
      <c r="CB32" s="49">
        <f t="shared" si="5"/>
        <v>-0.39715423849991871</v>
      </c>
      <c r="CC32" s="49">
        <f t="shared" si="5"/>
        <v>0.6169616178019619</v>
      </c>
      <c r="CD32" s="49">
        <f t="shared" si="5"/>
        <v>-9.4577653210902966E-3</v>
      </c>
      <c r="CE32" s="49">
        <f t="shared" si="5"/>
        <v>-226.82274659272173</v>
      </c>
      <c r="CF32" s="49">
        <f t="shared" si="5"/>
        <v>-9.9962127343934295</v>
      </c>
      <c r="CG32" s="49">
        <f t="shared" si="5"/>
        <v>1.1779053217976556E-2</v>
      </c>
      <c r="CH32" s="49">
        <f t="shared" si="5"/>
        <v>1.6305556428101498E-2</v>
      </c>
      <c r="CI32" s="49">
        <f t="shared" si="5"/>
        <v>-12.554352905630237</v>
      </c>
      <c r="CJ32" s="49">
        <f t="shared" si="5"/>
        <v>-20.541692639229602</v>
      </c>
      <c r="CK32" s="49">
        <f t="shared" si="5"/>
        <v>0</v>
      </c>
      <c r="CL32" s="49" t="e">
        <f t="shared" si="5"/>
        <v>#DIV/0!</v>
      </c>
      <c r="CM32" s="49" t="e">
        <f t="shared" si="6"/>
        <v>#DIV/0!</v>
      </c>
      <c r="CN32" s="49" t="e">
        <f t="shared" si="6"/>
        <v>#DIV/0!</v>
      </c>
      <c r="CO32" s="49" t="e">
        <f t="shared" si="6"/>
        <v>#DIV/0!</v>
      </c>
      <c r="CP32" s="49" t="e">
        <f t="shared" si="6"/>
        <v>#DIV/0!</v>
      </c>
      <c r="CQ32" s="49" t="e">
        <f t="shared" si="6"/>
        <v>#DIV/0!</v>
      </c>
      <c r="CR32" s="49" t="e">
        <f t="shared" si="6"/>
        <v>#DIV/0!</v>
      </c>
      <c r="CS32" s="49" t="e">
        <f t="shared" si="6"/>
        <v>#DIV/0!</v>
      </c>
      <c r="CT32" s="49" t="e">
        <f t="shared" si="6"/>
        <v>#DIV/0!</v>
      </c>
      <c r="CU32" s="49" t="e">
        <f t="shared" si="6"/>
        <v>#DIV/0!</v>
      </c>
    </row>
    <row r="33" spans="1:99">
      <c r="A33" s="53" t="str">
        <f>IF( ISBLANK(beam_frmt_noFPM!A67), "", beam_frmt_noFPM!A67)</f>
        <v/>
      </c>
      <c r="B33" s="54">
        <f>IF( ISBLANK(beam_frmt_noFPM!B67), "", beam_frmt_noFPM!B67)</f>
        <v>1.3448</v>
      </c>
      <c r="C33" s="54">
        <f>IF( ISBLANK(beam_frmt_noFPM!C67), "", beam_frmt_noFPM!C67)</f>
        <v>0</v>
      </c>
      <c r="D33" s="54">
        <f>IF( ISBLANK(beam_frmt_noFPM!D67), "", beam_frmt_noFPM!D67)</f>
        <v>0</v>
      </c>
      <c r="E33" s="54">
        <f>IF( ISBLANK(beam_frmt_noFPM!E67), "", beam_frmt_noFPM!E67)</f>
        <v>1.4489193299347267</v>
      </c>
      <c r="F33" s="54">
        <f>IF( ISBLANK(beam_frmt_noFPM!F67), "", beam_frmt_noFPM!F67)</f>
        <v>-8.1200455650608343E-3</v>
      </c>
      <c r="G33" s="54">
        <f>IF( ISBLANK(beam_frmt_noFPM!G67), "", beam_frmt_noFPM!G67)</f>
        <v>8.189242049122643E-4</v>
      </c>
      <c r="H33" s="54">
        <f>IF( ISBLANK(beam_frmt_noFPM!H67), "", beam_frmt_noFPM!H67)</f>
        <v>8.7522508538671893E-6</v>
      </c>
      <c r="I33" s="54">
        <f>IF( ISBLANK(beam_frmt_noFPM!I67), "", beam_frmt_noFPM!I67)</f>
        <v>1.4384189178592117E-3</v>
      </c>
      <c r="J33" s="54">
        <f>IF( ISBLANK(beam_frmt_noFPM!J67), "", beam_frmt_noFPM!J67)</f>
        <v>2.1903706994012931E-5</v>
      </c>
      <c r="K33" s="55">
        <f>IF( ISBLANK(beam_frmt_noFPM!K67), "", beam_frmt_noFPM!K67)</f>
        <v>14054961.873543644</v>
      </c>
      <c r="L33" s="56">
        <f>IF( ISBLANK(beam_frmt_noFPM!L67), "", beam_frmt_noFPM!L67)</f>
        <v>13446.51665427545</v>
      </c>
      <c r="M33" s="55">
        <f>IF( ISBLANK(beam_frmt_noFPM!M67), "", beam_frmt_noFPM!M67)</f>
        <v>91306.079904700207</v>
      </c>
      <c r="N33" s="56">
        <f>IF( ISBLANK(beam_frmt_noFPM!N67), "", beam_frmt_noFPM!N67)</f>
        <v>92.096166573349123</v>
      </c>
      <c r="O33" s="55">
        <f>IF( ISBLANK(beam_frmt_noFPM!O67), "", beam_frmt_noFPM!O67)</f>
        <v>6075.0994726281997</v>
      </c>
      <c r="P33" s="56">
        <f>IF( ISBLANK(beam_frmt_noFPM!P67), "", beam_frmt_noFPM!P67)</f>
        <v>238.14380700878371</v>
      </c>
      <c r="Q33" s="55">
        <f>IF( ISBLANK(beam_frmt_noFPM!Q67), "", beam_frmt_noFPM!Q67)</f>
        <v>82.100150206068975</v>
      </c>
      <c r="R33" s="234">
        <f>IF( ISBLANK(beam_frmt_noFPM!R67), "", beam_frmt_noFPM!R67)</f>
        <v>179842.04809939186</v>
      </c>
      <c r="S33" s="236">
        <f>IF( ISBLANK(beam_frmt_noFPM!S67), "", beam_frmt_noFPM!S67)</f>
        <v>159192.64426205563</v>
      </c>
      <c r="T33" s="55">
        <f>IF( ISBLANK(beam_frmt_noFPM!T67), "", beam_frmt_noFPM!T67)</f>
        <v>285.53625638346085</v>
      </c>
      <c r="U33" s="55">
        <f>IF( ISBLANK(beam_frmt_noFPM!U67), "", beam_frmt_noFPM!U67)</f>
        <v>1220.7129095470477</v>
      </c>
      <c r="V33" s="206">
        <f>IF( ISBLANK(beam_frmt_noFPM!V67), "", beam_frmt_noFPM!V67)</f>
        <v>1.3448</v>
      </c>
      <c r="W33" s="124"/>
      <c r="X33" s="124"/>
      <c r="Y33" s="124"/>
      <c r="Z33" s="124"/>
      <c r="AA33" s="124"/>
      <c r="AB33" s="124"/>
      <c r="AC33" s="124"/>
      <c r="AD33" s="124"/>
      <c r="AE33" s="124"/>
      <c r="AF33" s="100"/>
      <c r="AI33" s="2"/>
      <c r="AJ33">
        <v>1.3448</v>
      </c>
      <c r="AK33">
        <v>0</v>
      </c>
      <c r="AL33">
        <v>0</v>
      </c>
      <c r="AM33" s="1">
        <v>1.4490430000000001</v>
      </c>
      <c r="AN33">
        <v>-8.1539999999999998E-3</v>
      </c>
      <c r="AO33" s="1">
        <v>4.26E-4</v>
      </c>
      <c r="AP33" s="1">
        <v>8.7162359999999998E-6</v>
      </c>
      <c r="AQ33" s="1">
        <v>1.4355220000000001E-3</v>
      </c>
      <c r="AR33" s="1">
        <v>-2.9894729999999999E-5</v>
      </c>
      <c r="AS33" s="1">
        <v>14052690</v>
      </c>
      <c r="AT33" s="1">
        <v>15496.73</v>
      </c>
      <c r="AU33" s="1">
        <v>91180.11</v>
      </c>
      <c r="AV33" s="1">
        <v>93.584720000000004</v>
      </c>
      <c r="AW33" s="1">
        <v>6073.6679999999997</v>
      </c>
      <c r="AX33" s="1">
        <v>-208.23140000000001</v>
      </c>
      <c r="AY33" s="1">
        <v>95.116060000000004</v>
      </c>
      <c r="AZ33" s="235">
        <v>179764.5</v>
      </c>
      <c r="BA33" s="237">
        <v>159101.9</v>
      </c>
      <c r="BB33" s="1">
        <v>366.47500000000002</v>
      </c>
      <c r="BC33" s="1">
        <v>1600.873</v>
      </c>
      <c r="BD33" s="1">
        <v>1.3448</v>
      </c>
      <c r="BE33" s="1"/>
      <c r="BF33" s="1"/>
      <c r="BG33" s="1"/>
      <c r="BH33" s="1"/>
      <c r="BI33" s="1"/>
      <c r="BJ33" s="1"/>
      <c r="BK33" s="1"/>
      <c r="BL33" s="1"/>
      <c r="BM33" s="1"/>
      <c r="BN33" s="67"/>
      <c r="BQ33" s="49">
        <f t="shared" si="7"/>
        <v>0</v>
      </c>
      <c r="BR33" s="49">
        <f t="shared" si="7"/>
        <v>0</v>
      </c>
      <c r="BS33" s="49">
        <f t="shared" si="7"/>
        <v>0</v>
      </c>
      <c r="BT33" s="49">
        <f t="shared" si="3"/>
        <v>-8.53460285673803E-3</v>
      </c>
      <c r="BU33" s="49">
        <f t="shared" si="4"/>
        <v>3.3954434939165515E-5</v>
      </c>
      <c r="BV33" s="49">
        <f t="shared" si="4"/>
        <v>3.929242049122643E-4</v>
      </c>
      <c r="BW33" s="49">
        <f t="shared" si="5"/>
        <v>0.41319273442331667</v>
      </c>
      <c r="BX33" s="49">
        <f t="shared" si="5"/>
        <v>0.201802400744235</v>
      </c>
      <c r="BY33" s="49">
        <f t="shared" si="5"/>
        <v>-173.26945917896876</v>
      </c>
      <c r="BZ33" s="49">
        <f t="shared" si="5"/>
        <v>1.6166823175095473E-2</v>
      </c>
      <c r="CA33" s="49">
        <f t="shared" si="5"/>
        <v>-13.229973973377282</v>
      </c>
      <c r="CB33" s="49">
        <f t="shared" si="5"/>
        <v>0.13815502602509125</v>
      </c>
      <c r="CC33" s="49">
        <f t="shared" si="5"/>
        <v>-1.5905945186894626</v>
      </c>
      <c r="CD33" s="49">
        <f t="shared" si="5"/>
        <v>2.3568503056143775E-2</v>
      </c>
      <c r="CE33" s="49">
        <f t="shared" si="5"/>
        <v>-214.36498386352093</v>
      </c>
      <c r="CF33" s="49">
        <f t="shared" si="5"/>
        <v>-13.684239858054495</v>
      </c>
      <c r="CG33" s="49">
        <f t="shared" si="5"/>
        <v>4.3138717261673405E-2</v>
      </c>
      <c r="CH33" s="49">
        <f t="shared" si="5"/>
        <v>5.7035310109834897E-2</v>
      </c>
      <c r="CI33" s="49">
        <f t="shared" si="5"/>
        <v>-22.085747627133955</v>
      </c>
      <c r="CJ33" s="49">
        <f t="shared" si="5"/>
        <v>-23.747048669879018</v>
      </c>
      <c r="CK33" s="49">
        <f t="shared" si="5"/>
        <v>0</v>
      </c>
      <c r="CL33" s="49" t="e">
        <f t="shared" si="5"/>
        <v>#DIV/0!</v>
      </c>
      <c r="CM33" s="49" t="e">
        <f t="shared" si="6"/>
        <v>#DIV/0!</v>
      </c>
      <c r="CN33" s="49" t="e">
        <f t="shared" si="6"/>
        <v>#DIV/0!</v>
      </c>
      <c r="CO33" s="49" t="e">
        <f t="shared" si="6"/>
        <v>#DIV/0!</v>
      </c>
      <c r="CP33" s="49" t="e">
        <f t="shared" si="6"/>
        <v>#DIV/0!</v>
      </c>
      <c r="CQ33" s="49" t="e">
        <f t="shared" si="6"/>
        <v>#DIV/0!</v>
      </c>
      <c r="CR33" s="49" t="e">
        <f t="shared" si="6"/>
        <v>#DIV/0!</v>
      </c>
      <c r="CS33" s="49" t="e">
        <f t="shared" si="6"/>
        <v>#DIV/0!</v>
      </c>
      <c r="CT33" s="49" t="e">
        <f t="shared" si="6"/>
        <v>#DIV/0!</v>
      </c>
      <c r="CU33" s="49" t="e">
        <f t="shared" si="6"/>
        <v>#DIV/0!</v>
      </c>
    </row>
    <row r="34" spans="1:99">
      <c r="A34" s="53">
        <f>IF( ISBLANK(beam_frmt_noFPM!A68), "", beam_frmt_noFPM!A68)</f>
        <v>16</v>
      </c>
      <c r="B34" s="54">
        <f>IF( ISBLANK(beam_frmt_noFPM!B68), "", beam_frmt_noFPM!B68)</f>
        <v>1.3448</v>
      </c>
      <c r="C34" s="54">
        <f>IF( ISBLANK(beam_frmt_noFPM!C68), "", beam_frmt_noFPM!C68)</f>
        <v>0</v>
      </c>
      <c r="D34" s="54">
        <f>IF( ISBLANK(beam_frmt_noFPM!D68), "", beam_frmt_noFPM!D68)</f>
        <v>0</v>
      </c>
      <c r="E34" s="54">
        <f>IF( ISBLANK(beam_frmt_noFPM!E68), "", beam_frmt_noFPM!E68)</f>
        <v>1.4489193299347267</v>
      </c>
      <c r="F34" s="54">
        <f>IF( ISBLANK(beam_frmt_noFPM!F68), "", beam_frmt_noFPM!F68)</f>
        <v>-8.1200455650608343E-3</v>
      </c>
      <c r="G34" s="54">
        <f>IF( ISBLANK(beam_frmt_noFPM!G68), "", beam_frmt_noFPM!G68)</f>
        <v>8.189242049122643E-4</v>
      </c>
      <c r="H34" s="54">
        <f>IF( ISBLANK(beam_frmt_noFPM!H68), "", beam_frmt_noFPM!H68)</f>
        <v>8.7522508538671893E-6</v>
      </c>
      <c r="I34" s="54">
        <f>IF( ISBLANK(beam_frmt_noFPM!I68), "", beam_frmt_noFPM!I68)</f>
        <v>1.4384189178592117E-3</v>
      </c>
      <c r="J34" s="54">
        <f>IF( ISBLANK(beam_frmt_noFPM!J68), "", beam_frmt_noFPM!J68)</f>
        <v>2.1903706994012931E-5</v>
      </c>
      <c r="K34" s="55">
        <f>IF( ISBLANK(beam_frmt_noFPM!K68), "", beam_frmt_noFPM!K68)</f>
        <v>14054961.873543644</v>
      </c>
      <c r="L34" s="56">
        <f>IF( ISBLANK(beam_frmt_noFPM!L68), "", beam_frmt_noFPM!L68)</f>
        <v>13446.51665427545</v>
      </c>
      <c r="M34" s="55">
        <f>IF( ISBLANK(beam_frmt_noFPM!M68), "", beam_frmt_noFPM!M68)</f>
        <v>91306.079904700207</v>
      </c>
      <c r="N34" s="56">
        <f>IF( ISBLANK(beam_frmt_noFPM!N68), "", beam_frmt_noFPM!N68)</f>
        <v>92.096166573349123</v>
      </c>
      <c r="O34" s="55">
        <f>IF( ISBLANK(beam_frmt_noFPM!O68), "", beam_frmt_noFPM!O68)</f>
        <v>6075.0994726281997</v>
      </c>
      <c r="P34" s="56">
        <f>IF( ISBLANK(beam_frmt_noFPM!P68), "", beam_frmt_noFPM!P68)</f>
        <v>238.14380700878371</v>
      </c>
      <c r="Q34" s="55">
        <f>IF( ISBLANK(beam_frmt_noFPM!Q68), "", beam_frmt_noFPM!Q68)</f>
        <v>82.100150206068975</v>
      </c>
      <c r="R34" s="234">
        <f>IF( ISBLANK(beam_frmt_noFPM!R68), "", beam_frmt_noFPM!R68)</f>
        <v>179842.04809939186</v>
      </c>
      <c r="S34" s="236">
        <f>IF( ISBLANK(beam_frmt_noFPM!S68), "", beam_frmt_noFPM!S68)</f>
        <v>159192.64426205563</v>
      </c>
      <c r="T34" s="55">
        <f>IF( ISBLANK(beam_frmt_noFPM!T68), "", beam_frmt_noFPM!T68)</f>
        <v>285.53625638346085</v>
      </c>
      <c r="U34" s="55">
        <f>IF( ISBLANK(beam_frmt_noFPM!U68), "", beam_frmt_noFPM!U68)</f>
        <v>1220.7129095470477</v>
      </c>
      <c r="V34" s="206">
        <f>IF( ISBLANK(beam_frmt_noFPM!V68), "", beam_frmt_noFPM!V68)</f>
        <v>1.3448</v>
      </c>
      <c r="W34" s="124"/>
      <c r="X34" s="124"/>
      <c r="Y34" s="124"/>
      <c r="Z34" s="124"/>
      <c r="AA34" s="124"/>
      <c r="AB34" s="124"/>
      <c r="AC34" s="124"/>
      <c r="AD34" s="124"/>
      <c r="AE34" s="124"/>
      <c r="AF34" s="100"/>
      <c r="AI34" s="2">
        <v>16</v>
      </c>
      <c r="AJ34">
        <v>1.3448</v>
      </c>
      <c r="AK34">
        <v>0</v>
      </c>
      <c r="AL34">
        <v>0</v>
      </c>
      <c r="AM34" s="1">
        <v>1.4490430000000001</v>
      </c>
      <c r="AN34" s="1">
        <v>-8.1539999999999998E-3</v>
      </c>
      <c r="AO34" s="1">
        <v>4.26E-4</v>
      </c>
      <c r="AP34" s="1">
        <v>8.7162359999999998E-6</v>
      </c>
      <c r="AQ34" s="1">
        <v>1.4355220000000001E-3</v>
      </c>
      <c r="AR34" s="1">
        <v>-2.9894729999999999E-5</v>
      </c>
      <c r="AS34" s="1">
        <v>14052690</v>
      </c>
      <c r="AT34" s="1">
        <v>15496.73</v>
      </c>
      <c r="AU34" s="1">
        <v>91180.11</v>
      </c>
      <c r="AV34" s="1">
        <v>93.584720000000004</v>
      </c>
      <c r="AW34" s="1">
        <v>6073.6679999999997</v>
      </c>
      <c r="AX34" s="1">
        <v>-208.23140000000001</v>
      </c>
      <c r="AY34" s="1">
        <v>95.116060000000004</v>
      </c>
      <c r="AZ34" s="235">
        <v>179764.5</v>
      </c>
      <c r="BA34" s="237">
        <v>159101.9</v>
      </c>
      <c r="BB34" s="1">
        <v>366.47500000000002</v>
      </c>
      <c r="BC34" s="1">
        <v>1600.873</v>
      </c>
      <c r="BD34" s="1">
        <v>1.3448</v>
      </c>
      <c r="BE34" s="1"/>
      <c r="BF34" s="1"/>
      <c r="BG34" s="1"/>
      <c r="BH34" s="1"/>
      <c r="BI34" s="1"/>
      <c r="BJ34" s="1"/>
      <c r="BK34" s="1"/>
      <c r="BL34" s="1"/>
      <c r="BM34" s="1"/>
      <c r="BN34" s="67"/>
      <c r="BQ34" s="49">
        <f t="shared" si="7"/>
        <v>0</v>
      </c>
      <c r="BR34" s="49">
        <f t="shared" si="7"/>
        <v>0</v>
      </c>
      <c r="BS34" s="49">
        <f t="shared" si="7"/>
        <v>0</v>
      </c>
      <c r="BT34" s="49">
        <f t="shared" si="3"/>
        <v>-8.53460285673803E-3</v>
      </c>
      <c r="BU34" s="49">
        <f t="shared" si="4"/>
        <v>3.3954434939165515E-5</v>
      </c>
      <c r="BV34" s="49">
        <f t="shared" si="4"/>
        <v>3.929242049122643E-4</v>
      </c>
      <c r="BW34" s="49">
        <f t="shared" si="5"/>
        <v>0.41319273442331667</v>
      </c>
      <c r="BX34" s="49">
        <f t="shared" si="5"/>
        <v>0.201802400744235</v>
      </c>
      <c r="BY34" s="49">
        <f t="shared" si="5"/>
        <v>-173.26945917896876</v>
      </c>
      <c r="BZ34" s="49">
        <f t="shared" si="5"/>
        <v>1.6166823175095473E-2</v>
      </c>
      <c r="CA34" s="49">
        <f t="shared" si="5"/>
        <v>-13.229973973377282</v>
      </c>
      <c r="CB34" s="49">
        <f t="shared" si="5"/>
        <v>0.13815502602509125</v>
      </c>
      <c r="CC34" s="49">
        <f t="shared" si="5"/>
        <v>-1.5905945186894626</v>
      </c>
      <c r="CD34" s="49">
        <f t="shared" si="5"/>
        <v>2.3568503056143775E-2</v>
      </c>
      <c r="CE34" s="49">
        <f t="shared" si="5"/>
        <v>-214.36498386352093</v>
      </c>
      <c r="CF34" s="49">
        <f t="shared" si="5"/>
        <v>-13.684239858054495</v>
      </c>
      <c r="CG34" s="49">
        <f t="shared" si="5"/>
        <v>4.3138717261673405E-2</v>
      </c>
      <c r="CH34" s="49">
        <f t="shared" si="5"/>
        <v>5.7035310109834897E-2</v>
      </c>
      <c r="CI34" s="49">
        <f t="shared" si="5"/>
        <v>-22.085747627133955</v>
      </c>
      <c r="CJ34" s="49">
        <f t="shared" si="5"/>
        <v>-23.747048669879018</v>
      </c>
      <c r="CK34" s="49">
        <f t="shared" si="5"/>
        <v>0</v>
      </c>
      <c r="CL34" s="49" t="e">
        <f t="shared" si="5"/>
        <v>#DIV/0!</v>
      </c>
      <c r="CM34" s="49" t="e">
        <f t="shared" si="6"/>
        <v>#DIV/0!</v>
      </c>
      <c r="CN34" s="49" t="e">
        <f t="shared" si="6"/>
        <v>#DIV/0!</v>
      </c>
      <c r="CO34" s="49" t="e">
        <f t="shared" si="6"/>
        <v>#DIV/0!</v>
      </c>
      <c r="CP34" s="49" t="e">
        <f t="shared" si="6"/>
        <v>#DIV/0!</v>
      </c>
      <c r="CQ34" s="49" t="e">
        <f t="shared" si="6"/>
        <v>#DIV/0!</v>
      </c>
      <c r="CR34" s="49" t="e">
        <f t="shared" si="6"/>
        <v>#DIV/0!</v>
      </c>
      <c r="CS34" s="49" t="e">
        <f t="shared" si="6"/>
        <v>#DIV/0!</v>
      </c>
      <c r="CT34" s="49" t="e">
        <f t="shared" si="6"/>
        <v>#DIV/0!</v>
      </c>
      <c r="CU34" s="49" t="e">
        <f t="shared" si="6"/>
        <v>#DIV/0!</v>
      </c>
    </row>
    <row r="35" spans="1:99">
      <c r="A35" s="53" t="str">
        <f>IF( ISBLANK(beam_frmt_noFPM!A69), "", beam_frmt_noFPM!A69)</f>
        <v/>
      </c>
      <c r="B35" s="54">
        <f>IF( ISBLANK(beam_frmt_noFPM!B69), "", beam_frmt_noFPM!B69)</f>
        <v>1.4292</v>
      </c>
      <c r="C35" s="54">
        <f>IF( ISBLANK(beam_frmt_noFPM!C69), "", beam_frmt_noFPM!C69)</f>
        <v>0</v>
      </c>
      <c r="D35" s="54">
        <f>IF( ISBLANK(beam_frmt_noFPM!D69), "", beam_frmt_noFPM!D69)</f>
        <v>0</v>
      </c>
      <c r="E35" s="54">
        <f>IF( ISBLANK(beam_frmt_noFPM!E69), "", beam_frmt_noFPM!E69)</f>
        <v>1.2792319464847908</v>
      </c>
      <c r="F35" s="54">
        <f>IF( ISBLANK(beam_frmt_noFPM!F69), "", beam_frmt_noFPM!F69)</f>
        <v>-4.533017083740278E-3</v>
      </c>
      <c r="G35" s="54">
        <f>IF( ISBLANK(beam_frmt_noFPM!G69), "", beam_frmt_noFPM!G69)</f>
        <v>9.6952338028980694E-4</v>
      </c>
      <c r="H35" s="54">
        <f>IF( ISBLANK(beam_frmt_noFPM!H69), "", beam_frmt_noFPM!H69)</f>
        <v>9.9189083631397951E-6</v>
      </c>
      <c r="I35" s="54">
        <f>IF( ISBLANK(beam_frmt_noFPM!I69), "", beam_frmt_noFPM!I69)</f>
        <v>1.3183225268815369E-3</v>
      </c>
      <c r="J35" s="54">
        <f>IF( ISBLANK(beam_frmt_noFPM!J69), "", beam_frmt_noFPM!J69)</f>
        <v>4.848138558146232E-5</v>
      </c>
      <c r="K35" s="55">
        <f>IF( ISBLANK(beam_frmt_noFPM!K69), "", beam_frmt_noFPM!K69)</f>
        <v>13833969.223582998</v>
      </c>
      <c r="L35" s="56">
        <f>IF( ISBLANK(beam_frmt_noFPM!L69), "", beam_frmt_noFPM!L69)</f>
        <v>12298.398639765284</v>
      </c>
      <c r="M35" s="55">
        <f>IF( ISBLANK(beam_frmt_noFPM!M69), "", beam_frmt_noFPM!M69)</f>
        <v>91586.329728295997</v>
      </c>
      <c r="N35" s="56">
        <f>IF( ISBLANK(beam_frmt_noFPM!N69), "", beam_frmt_noFPM!N69)</f>
        <v>89.396798227126041</v>
      </c>
      <c r="O35" s="55">
        <f>IF( ISBLANK(beam_frmt_noFPM!O69), "", beam_frmt_noFPM!O69)</f>
        <v>6039.7366099443143</v>
      </c>
      <c r="P35" s="56">
        <f>IF( ISBLANK(beam_frmt_noFPM!P69), "", beam_frmt_noFPM!P69)</f>
        <v>298.09670275147062</v>
      </c>
      <c r="Q35" s="55">
        <f>IF( ISBLANK(beam_frmt_noFPM!Q69), "", beam_frmt_noFPM!Q69)</f>
        <v>78.345940145025665</v>
      </c>
      <c r="R35" s="234">
        <f>IF( ISBLANK(beam_frmt_noFPM!R69), "", beam_frmt_noFPM!R69)</f>
        <v>170018.010628121</v>
      </c>
      <c r="S35" s="236">
        <f>IF( ISBLANK(beam_frmt_noFPM!S69), "", beam_frmt_noFPM!S69)</f>
        <v>150526.8317893419</v>
      </c>
      <c r="T35" s="55">
        <f>IF( ISBLANK(beam_frmt_noFPM!T69), "", beam_frmt_noFPM!T69)</f>
        <v>254.9561891521127</v>
      </c>
      <c r="U35" s="55">
        <f>IF( ISBLANK(beam_frmt_noFPM!U69), "", beam_frmt_noFPM!U69)</f>
        <v>1208.2091660079498</v>
      </c>
      <c r="V35" s="206">
        <f>IF( ISBLANK(beam_frmt_noFPM!V69), "", beam_frmt_noFPM!V69)</f>
        <v>1.4292</v>
      </c>
      <c r="W35" s="124"/>
      <c r="X35" s="124"/>
      <c r="Y35" s="124"/>
      <c r="Z35" s="124"/>
      <c r="AA35" s="124"/>
      <c r="AB35" s="124"/>
      <c r="AC35" s="124"/>
      <c r="AD35" s="124"/>
      <c r="AE35" s="124"/>
      <c r="AF35" s="100"/>
      <c r="AI35" s="2"/>
      <c r="AJ35">
        <v>1.4292</v>
      </c>
      <c r="AK35">
        <v>0</v>
      </c>
      <c r="AL35">
        <v>0</v>
      </c>
      <c r="AM35" s="1">
        <v>1.265944</v>
      </c>
      <c r="AN35">
        <v>-4.3059999999999999E-3</v>
      </c>
      <c r="AO35" s="1">
        <v>6.9200000000000002E-4</v>
      </c>
      <c r="AP35" s="1">
        <v>8.3059079999999998E-6</v>
      </c>
      <c r="AQ35" s="1">
        <v>1.296609E-3</v>
      </c>
      <c r="AR35" s="1">
        <v>-3.4293959999999998E-5</v>
      </c>
      <c r="AS35" s="1">
        <v>13833970</v>
      </c>
      <c r="AT35" s="1">
        <v>15610.99</v>
      </c>
      <c r="AU35" s="1">
        <v>91096.81</v>
      </c>
      <c r="AV35" s="1">
        <v>92.475020000000001</v>
      </c>
      <c r="AW35" s="1">
        <v>6038.232</v>
      </c>
      <c r="AX35" s="1">
        <v>-275.4846</v>
      </c>
      <c r="AY35" s="1">
        <v>91.423749999999998</v>
      </c>
      <c r="AZ35" s="235">
        <v>170002.7</v>
      </c>
      <c r="BA35" s="237">
        <v>150462.1</v>
      </c>
      <c r="BB35" s="1">
        <v>356.05259999999998</v>
      </c>
      <c r="BC35" s="1">
        <v>1558.4290000000001</v>
      </c>
      <c r="BD35" s="1">
        <v>1.4292</v>
      </c>
      <c r="BE35" s="1"/>
      <c r="BF35" s="1"/>
      <c r="BG35" s="1"/>
      <c r="BH35" s="1"/>
      <c r="BI35" s="1"/>
      <c r="BJ35" s="1"/>
      <c r="BK35" s="1"/>
      <c r="BL35" s="1"/>
      <c r="BM35" s="1"/>
      <c r="BN35" s="67"/>
      <c r="BQ35" s="49">
        <f t="shared" si="7"/>
        <v>0</v>
      </c>
      <c r="BR35" s="49">
        <f t="shared" si="7"/>
        <v>0</v>
      </c>
      <c r="BS35" s="49">
        <f t="shared" si="7"/>
        <v>0</v>
      </c>
      <c r="BT35" s="49">
        <f t="shared" si="3"/>
        <v>1.0496472580770408</v>
      </c>
      <c r="BU35" s="49">
        <f t="shared" si="4"/>
        <v>-2.270170837402781E-4</v>
      </c>
      <c r="BV35" s="49">
        <f t="shared" si="4"/>
        <v>2.7752338028980692E-4</v>
      </c>
      <c r="BW35" s="49">
        <f t="shared" ref="BW35:CL43" si="8" xml:space="preserve"> (H35 - AP35)/AP35 * 100</f>
        <v>19.419916078287834</v>
      </c>
      <c r="BX35" s="49">
        <f t="shared" si="8"/>
        <v>1.6746395313881755</v>
      </c>
      <c r="BY35" s="49">
        <f t="shared" si="8"/>
        <v>-241.370041784216</v>
      </c>
      <c r="BZ35" s="49">
        <f t="shared" si="8"/>
        <v>-5.6123947217022374E-6</v>
      </c>
      <c r="CA35" s="49">
        <f t="shared" si="8"/>
        <v>-21.219611057560829</v>
      </c>
      <c r="CB35" s="49">
        <f t="shared" si="8"/>
        <v>0.53736209675838242</v>
      </c>
      <c r="CC35" s="49">
        <f t="shared" si="8"/>
        <v>-3.3287062526441842</v>
      </c>
      <c r="CD35" s="49">
        <f t="shared" si="8"/>
        <v>2.4918054561572409E-2</v>
      </c>
      <c r="CE35" s="49">
        <f t="shared" si="8"/>
        <v>-208.20811862132064</v>
      </c>
      <c r="CF35" s="49">
        <f t="shared" si="8"/>
        <v>-14.304608873486741</v>
      </c>
      <c r="CG35" s="49">
        <f t="shared" si="8"/>
        <v>9.006108797678606E-3</v>
      </c>
      <c r="CH35" s="49">
        <f t="shared" si="8"/>
        <v>4.3021989817964068E-2</v>
      </c>
      <c r="CI35" s="49">
        <f t="shared" si="8"/>
        <v>-28.393672970759738</v>
      </c>
      <c r="CJ35" s="49">
        <f t="shared" si="8"/>
        <v>-22.472620439689607</v>
      </c>
      <c r="CK35" s="49">
        <f t="shared" si="8"/>
        <v>0</v>
      </c>
      <c r="CL35" s="49" t="e">
        <f t="shared" si="8"/>
        <v>#DIV/0!</v>
      </c>
      <c r="CM35" s="49" t="e">
        <f t="shared" si="6"/>
        <v>#DIV/0!</v>
      </c>
      <c r="CN35" s="49" t="e">
        <f t="shared" si="6"/>
        <v>#DIV/0!</v>
      </c>
      <c r="CO35" s="49" t="e">
        <f t="shared" si="6"/>
        <v>#DIV/0!</v>
      </c>
      <c r="CP35" s="49" t="e">
        <f t="shared" si="6"/>
        <v>#DIV/0!</v>
      </c>
      <c r="CQ35" s="49" t="e">
        <f t="shared" si="6"/>
        <v>#DIV/0!</v>
      </c>
      <c r="CR35" s="49" t="e">
        <f t="shared" si="6"/>
        <v>#DIV/0!</v>
      </c>
      <c r="CS35" s="49" t="e">
        <f t="shared" si="6"/>
        <v>#DIV/0!</v>
      </c>
      <c r="CT35" s="49" t="e">
        <f t="shared" si="6"/>
        <v>#DIV/0!</v>
      </c>
      <c r="CU35" s="49" t="e">
        <f t="shared" si="6"/>
        <v>#DIV/0!</v>
      </c>
    </row>
    <row r="36" spans="1:99">
      <c r="A36" s="53">
        <f>IF( ISBLANK(beam_frmt_noFPM!A70), "", beam_frmt_noFPM!A70)</f>
        <v>17</v>
      </c>
      <c r="B36" s="54">
        <f>IF( ISBLANK(beam_frmt_noFPM!B70), "", beam_frmt_noFPM!B70)</f>
        <v>1.4292</v>
      </c>
      <c r="C36" s="54">
        <f>IF( ISBLANK(beam_frmt_noFPM!C70), "", beam_frmt_noFPM!C70)</f>
        <v>0</v>
      </c>
      <c r="D36" s="54">
        <f>IF( ISBLANK(beam_frmt_noFPM!D70), "", beam_frmt_noFPM!D70)</f>
        <v>0</v>
      </c>
      <c r="E36" s="54">
        <f>IF( ISBLANK(beam_frmt_noFPM!E70), "", beam_frmt_noFPM!E70)</f>
        <v>1.2792319464847908</v>
      </c>
      <c r="F36" s="54">
        <f>IF( ISBLANK(beam_frmt_noFPM!F70), "", beam_frmt_noFPM!F70)</f>
        <v>-4.533017083740278E-3</v>
      </c>
      <c r="G36" s="54">
        <f>IF( ISBLANK(beam_frmt_noFPM!G70), "", beam_frmt_noFPM!G70)</f>
        <v>9.6952338028980694E-4</v>
      </c>
      <c r="H36" s="54">
        <f>IF( ISBLANK(beam_frmt_noFPM!H70), "", beam_frmt_noFPM!H70)</f>
        <v>9.9189083631397951E-6</v>
      </c>
      <c r="I36" s="54">
        <f>IF( ISBLANK(beam_frmt_noFPM!I70), "", beam_frmt_noFPM!I70)</f>
        <v>1.3183225268815369E-3</v>
      </c>
      <c r="J36" s="54">
        <f>IF( ISBLANK(beam_frmt_noFPM!J70), "", beam_frmt_noFPM!J70)</f>
        <v>4.848138558146232E-5</v>
      </c>
      <c r="K36" s="55">
        <f>IF( ISBLANK(beam_frmt_noFPM!K70), "", beam_frmt_noFPM!K70)</f>
        <v>13833969.223582998</v>
      </c>
      <c r="L36" s="56">
        <f>IF( ISBLANK(beam_frmt_noFPM!L70), "", beam_frmt_noFPM!L70)</f>
        <v>12298.398639765284</v>
      </c>
      <c r="M36" s="55">
        <f>IF( ISBLANK(beam_frmt_noFPM!M70), "", beam_frmt_noFPM!M70)</f>
        <v>91586.329728295997</v>
      </c>
      <c r="N36" s="56">
        <f>IF( ISBLANK(beam_frmt_noFPM!N70), "", beam_frmt_noFPM!N70)</f>
        <v>89.396798227126041</v>
      </c>
      <c r="O36" s="55">
        <f>IF( ISBLANK(beam_frmt_noFPM!O70), "", beam_frmt_noFPM!O70)</f>
        <v>6039.7366099443143</v>
      </c>
      <c r="P36" s="56">
        <f>IF( ISBLANK(beam_frmt_noFPM!P70), "", beam_frmt_noFPM!P70)</f>
        <v>298.09670275147062</v>
      </c>
      <c r="Q36" s="55">
        <f>IF( ISBLANK(beam_frmt_noFPM!Q70), "", beam_frmt_noFPM!Q70)</f>
        <v>78.345940145025665</v>
      </c>
      <c r="R36" s="234">
        <f>IF( ISBLANK(beam_frmt_noFPM!R70), "", beam_frmt_noFPM!R70)</f>
        <v>170018.010628121</v>
      </c>
      <c r="S36" s="236">
        <f>IF( ISBLANK(beam_frmt_noFPM!S70), "", beam_frmt_noFPM!S70)</f>
        <v>150526.8317893419</v>
      </c>
      <c r="T36" s="55">
        <f>IF( ISBLANK(beam_frmt_noFPM!T70), "", beam_frmt_noFPM!T70)</f>
        <v>254.9561891521127</v>
      </c>
      <c r="U36" s="55">
        <f>IF( ISBLANK(beam_frmt_noFPM!U70), "", beam_frmt_noFPM!U70)</f>
        <v>1208.2091660079498</v>
      </c>
      <c r="V36" s="206">
        <f>IF( ISBLANK(beam_frmt_noFPM!V70), "", beam_frmt_noFPM!V70)</f>
        <v>1.4292</v>
      </c>
      <c r="W36" s="124"/>
      <c r="X36" s="124"/>
      <c r="Y36" s="124"/>
      <c r="Z36" s="124"/>
      <c r="AA36" s="124"/>
      <c r="AB36" s="124"/>
      <c r="AC36" s="124"/>
      <c r="AD36" s="124"/>
      <c r="AE36" s="124"/>
      <c r="AF36" s="100"/>
      <c r="AI36" s="2">
        <v>17</v>
      </c>
      <c r="AJ36">
        <v>1.4292</v>
      </c>
      <c r="AK36">
        <v>0</v>
      </c>
      <c r="AL36">
        <v>0</v>
      </c>
      <c r="AM36" s="1">
        <v>1.265944</v>
      </c>
      <c r="AN36" s="1">
        <v>-4.3059999999999999E-3</v>
      </c>
      <c r="AO36" s="1">
        <v>6.9200000000000002E-4</v>
      </c>
      <c r="AP36" s="1">
        <v>8.3059079999999998E-6</v>
      </c>
      <c r="AQ36" s="1">
        <v>1.296609E-3</v>
      </c>
      <c r="AR36" s="1">
        <v>-3.4293959999999998E-5</v>
      </c>
      <c r="AS36" s="1">
        <v>13833970</v>
      </c>
      <c r="AT36" s="1">
        <v>15610.99</v>
      </c>
      <c r="AU36" s="1">
        <v>91096.81</v>
      </c>
      <c r="AV36" s="1">
        <v>92.475020000000001</v>
      </c>
      <c r="AW36" s="1">
        <v>6038.232</v>
      </c>
      <c r="AX36" s="1">
        <v>-275.4846</v>
      </c>
      <c r="AY36" s="1">
        <v>91.423749999999998</v>
      </c>
      <c r="AZ36" s="235">
        <v>170002.7</v>
      </c>
      <c r="BA36" s="237">
        <v>150462.1</v>
      </c>
      <c r="BB36" s="1">
        <v>356.05259999999998</v>
      </c>
      <c r="BC36" s="1">
        <v>1558.4290000000001</v>
      </c>
      <c r="BD36" s="1">
        <v>1.4292</v>
      </c>
      <c r="BE36" s="1"/>
      <c r="BF36" s="1"/>
      <c r="BG36" s="1"/>
      <c r="BH36" s="1"/>
      <c r="BI36" s="1"/>
      <c r="BJ36" s="1"/>
      <c r="BK36" s="1"/>
      <c r="BL36" s="1"/>
      <c r="BM36" s="1"/>
      <c r="BN36" s="67"/>
      <c r="BQ36" s="49">
        <f t="shared" si="7"/>
        <v>0</v>
      </c>
      <c r="BR36" s="49">
        <f t="shared" si="7"/>
        <v>0</v>
      </c>
      <c r="BS36" s="49">
        <f t="shared" si="7"/>
        <v>0</v>
      </c>
      <c r="BT36" s="49">
        <f t="shared" si="3"/>
        <v>1.0496472580770408</v>
      </c>
      <c r="BU36" s="49">
        <f t="shared" si="4"/>
        <v>-2.270170837402781E-4</v>
      </c>
      <c r="BV36" s="49">
        <f t="shared" si="4"/>
        <v>2.7752338028980692E-4</v>
      </c>
      <c r="BW36" s="49">
        <f t="shared" si="8"/>
        <v>19.419916078287834</v>
      </c>
      <c r="BX36" s="49">
        <f t="shared" si="8"/>
        <v>1.6746395313881755</v>
      </c>
      <c r="BY36" s="49">
        <f t="shared" si="8"/>
        <v>-241.370041784216</v>
      </c>
      <c r="BZ36" s="49">
        <f t="shared" si="8"/>
        <v>-5.6123947217022374E-6</v>
      </c>
      <c r="CA36" s="49">
        <f t="shared" si="8"/>
        <v>-21.219611057560829</v>
      </c>
      <c r="CB36" s="49">
        <f t="shared" si="8"/>
        <v>0.53736209675838242</v>
      </c>
      <c r="CC36" s="49">
        <f t="shared" si="8"/>
        <v>-3.3287062526441842</v>
      </c>
      <c r="CD36" s="49">
        <f t="shared" si="8"/>
        <v>2.4918054561572409E-2</v>
      </c>
      <c r="CE36" s="49">
        <f t="shared" si="8"/>
        <v>-208.20811862132064</v>
      </c>
      <c r="CF36" s="49">
        <f t="shared" si="8"/>
        <v>-14.304608873486741</v>
      </c>
      <c r="CG36" s="49">
        <f t="shared" si="8"/>
        <v>9.006108797678606E-3</v>
      </c>
      <c r="CH36" s="49">
        <f t="shared" si="8"/>
        <v>4.3021989817964068E-2</v>
      </c>
      <c r="CI36" s="49">
        <f t="shared" si="8"/>
        <v>-28.393672970759738</v>
      </c>
      <c r="CJ36" s="49">
        <f t="shared" si="8"/>
        <v>-22.472620439689607</v>
      </c>
      <c r="CK36" s="49">
        <f t="shared" si="8"/>
        <v>0</v>
      </c>
      <c r="CL36" s="49" t="e">
        <f t="shared" si="8"/>
        <v>#DIV/0!</v>
      </c>
      <c r="CM36" s="49" t="e">
        <f t="shared" si="6"/>
        <v>#DIV/0!</v>
      </c>
      <c r="CN36" s="49" t="e">
        <f t="shared" si="6"/>
        <v>#DIV/0!</v>
      </c>
      <c r="CO36" s="49" t="e">
        <f t="shared" si="6"/>
        <v>#DIV/0!</v>
      </c>
      <c r="CP36" s="49" t="e">
        <f t="shared" si="6"/>
        <v>#DIV/0!</v>
      </c>
      <c r="CQ36" s="49" t="e">
        <f t="shared" si="6"/>
        <v>#DIV/0!</v>
      </c>
      <c r="CR36" s="49" t="e">
        <f t="shared" si="6"/>
        <v>#DIV/0!</v>
      </c>
      <c r="CS36" s="49" t="e">
        <f t="shared" si="6"/>
        <v>#DIV/0!</v>
      </c>
      <c r="CT36" s="49" t="e">
        <f t="shared" si="6"/>
        <v>#DIV/0!</v>
      </c>
      <c r="CU36" s="49" t="e">
        <f t="shared" si="6"/>
        <v>#DIV/0!</v>
      </c>
    </row>
    <row r="37" spans="1:99">
      <c r="A37" s="53" t="str">
        <f>IF( ISBLANK(beam_frmt_noFPM!A71), "", beam_frmt_noFPM!A71)</f>
        <v/>
      </c>
      <c r="B37" s="54">
        <f>IF( ISBLANK(beam_frmt_noFPM!B71), "", beam_frmt_noFPM!B71)</f>
        <v>1.482</v>
      </c>
      <c r="C37" s="54">
        <f>IF( ISBLANK(beam_frmt_noFPM!C71), "", beam_frmt_noFPM!C71)</f>
        <v>0</v>
      </c>
      <c r="D37" s="54">
        <f>IF( ISBLANK(beam_frmt_noFPM!D71), "", beam_frmt_noFPM!D71)</f>
        <v>0</v>
      </c>
      <c r="E37" s="54">
        <f>IF( ISBLANK(beam_frmt_noFPM!E71), "", beam_frmt_noFPM!E71)</f>
        <v>1.2000401740776856</v>
      </c>
      <c r="F37" s="54">
        <f>IF( ISBLANK(beam_frmt_noFPM!F71), "", beam_frmt_noFPM!F71)</f>
        <v>-1.7425580650707218E-3</v>
      </c>
      <c r="G37" s="54">
        <f>IF( ISBLANK(beam_frmt_noFPM!G71), "", beam_frmt_noFPM!G71)</f>
        <v>5.3503309420411724E-4</v>
      </c>
      <c r="H37" s="54">
        <f>IF( ISBLANK(beam_frmt_noFPM!H71), "", beam_frmt_noFPM!H71)</f>
        <v>8.7090800948928043E-6</v>
      </c>
      <c r="I37" s="54">
        <f>IF( ISBLANK(beam_frmt_noFPM!I71), "", beam_frmt_noFPM!I71)</f>
        <v>1.2623428560719142E-3</v>
      </c>
      <c r="J37" s="54">
        <f>IF( ISBLANK(beam_frmt_noFPM!J71), "", beam_frmt_noFPM!J71)</f>
        <v>4.1223938249966959E-5</v>
      </c>
      <c r="K37" s="55">
        <f>IF( ISBLANK(beam_frmt_noFPM!K71), "", beam_frmt_noFPM!K71)</f>
        <v>13878613.8380544</v>
      </c>
      <c r="L37" s="56">
        <f>IF( ISBLANK(beam_frmt_noFPM!L71), "", beam_frmt_noFPM!L71)</f>
        <v>12339.378801141302</v>
      </c>
      <c r="M37" s="55">
        <f>IF( ISBLANK(beam_frmt_noFPM!M71), "", beam_frmt_noFPM!M71)</f>
        <v>92015.920271774405</v>
      </c>
      <c r="N37" s="56">
        <f>IF( ISBLANK(beam_frmt_noFPM!N71), "", beam_frmt_noFPM!N71)</f>
        <v>92.924600605738817</v>
      </c>
      <c r="O37" s="55">
        <f>IF( ISBLANK(beam_frmt_noFPM!O71), "", beam_frmt_noFPM!O71)</f>
        <v>6051.0083568361106</v>
      </c>
      <c r="P37" s="56">
        <f>IF( ISBLANK(beam_frmt_noFPM!P71), "", beam_frmt_noFPM!P71)</f>
        <v>339.04075216725471</v>
      </c>
      <c r="Q37" s="55">
        <f>IF( ISBLANK(beam_frmt_noFPM!Q71), "", beam_frmt_noFPM!Q71)</f>
        <v>79.21002772919671</v>
      </c>
      <c r="R37" s="234">
        <f>IF( ISBLANK(beam_frmt_noFPM!R71), "", beam_frmt_noFPM!R71)</f>
        <v>171695.12268481535</v>
      </c>
      <c r="S37" s="236">
        <f>IF( ISBLANK(beam_frmt_noFPM!S71), "", beam_frmt_noFPM!S71)</f>
        <v>152031.77071000138</v>
      </c>
      <c r="T37" s="55">
        <f>IF( ISBLANK(beam_frmt_noFPM!T71), "", beam_frmt_noFPM!T71)</f>
        <v>258.88869128294493</v>
      </c>
      <c r="U37" s="55">
        <f>IF( ISBLANK(beam_frmt_noFPM!U71), "", beam_frmt_noFPM!U71)</f>
        <v>1265.4877141292075</v>
      </c>
      <c r="V37" s="206">
        <f>IF( ISBLANK(beam_frmt_noFPM!V71), "", beam_frmt_noFPM!V71)</f>
        <v>1.482</v>
      </c>
      <c r="W37" s="124"/>
      <c r="X37" s="124"/>
      <c r="Y37" s="124"/>
      <c r="Z37" s="124"/>
      <c r="AA37" s="124"/>
      <c r="AB37" s="124"/>
      <c r="AC37" s="124"/>
      <c r="AD37" s="124"/>
      <c r="AE37" s="124"/>
      <c r="AF37" s="100"/>
      <c r="AI37" s="2"/>
      <c r="AJ37">
        <v>1.482</v>
      </c>
      <c r="AK37">
        <v>0</v>
      </c>
      <c r="AL37">
        <v>0</v>
      </c>
      <c r="AM37" s="1">
        <v>1.199881</v>
      </c>
      <c r="AN37">
        <v>-1.789E-3</v>
      </c>
      <c r="AO37" s="1">
        <v>3.79E-4</v>
      </c>
      <c r="AP37" s="1">
        <v>1.087195E-5</v>
      </c>
      <c r="AQ37" s="1">
        <v>1.2596949999999999E-3</v>
      </c>
      <c r="AR37" s="1">
        <v>-6.6846299999999997E-5</v>
      </c>
      <c r="AS37" s="1">
        <v>13878540</v>
      </c>
      <c r="AT37" s="1">
        <v>16366.38</v>
      </c>
      <c r="AU37" s="1">
        <v>91380.92</v>
      </c>
      <c r="AV37" s="1">
        <v>97.534019999999998</v>
      </c>
      <c r="AW37" s="1">
        <v>6046.1019999999999</v>
      </c>
      <c r="AX37" s="1">
        <v>-322.75439999999998</v>
      </c>
      <c r="AY37" s="1">
        <v>93.386570000000006</v>
      </c>
      <c r="AZ37" s="235">
        <v>171737.1</v>
      </c>
      <c r="BA37" s="237">
        <v>151997.20000000001</v>
      </c>
      <c r="BB37" s="1">
        <v>377.8134</v>
      </c>
      <c r="BC37" s="1">
        <v>1629.7149999999999</v>
      </c>
      <c r="BD37" s="1">
        <v>1.482</v>
      </c>
      <c r="BE37" s="1"/>
      <c r="BF37" s="1"/>
      <c r="BG37" s="1"/>
      <c r="BH37" s="1"/>
      <c r="BI37" s="1"/>
      <c r="BJ37" s="1"/>
      <c r="BK37" s="1"/>
      <c r="BL37" s="1"/>
      <c r="BM37" s="1"/>
      <c r="BN37" s="67"/>
      <c r="BQ37" s="49">
        <f t="shared" si="7"/>
        <v>0</v>
      </c>
      <c r="BR37" s="49">
        <f t="shared" si="7"/>
        <v>0</v>
      </c>
      <c r="BS37" s="49">
        <f t="shared" si="7"/>
        <v>0</v>
      </c>
      <c r="BT37" s="49">
        <f t="shared" si="3"/>
        <v>1.3265822001150103E-2</v>
      </c>
      <c r="BU37" s="49">
        <f t="shared" si="4"/>
        <v>4.644193492927824E-5</v>
      </c>
      <c r="BV37" s="49">
        <f t="shared" si="4"/>
        <v>1.5603309420411725E-4</v>
      </c>
      <c r="BW37" s="49">
        <f t="shared" si="8"/>
        <v>-19.894038374966737</v>
      </c>
      <c r="BX37" s="49">
        <f t="shared" si="8"/>
        <v>0.21019818860234007</v>
      </c>
      <c r="BY37" s="49">
        <f t="shared" si="8"/>
        <v>-161.66973826519487</v>
      </c>
      <c r="BZ37" s="49">
        <f t="shared" si="8"/>
        <v>5.3203041818474699E-4</v>
      </c>
      <c r="CA37" s="49">
        <f t="shared" si="8"/>
        <v>-24.605326277763915</v>
      </c>
      <c r="CB37" s="49">
        <f t="shared" si="8"/>
        <v>0.69489371717247594</v>
      </c>
      <c r="CC37" s="49">
        <f t="shared" si="8"/>
        <v>-4.7259606384123005</v>
      </c>
      <c r="CD37" s="49">
        <f t="shared" si="8"/>
        <v>8.1149091366813156E-2</v>
      </c>
      <c r="CE37" s="49">
        <f t="shared" si="8"/>
        <v>-205.04605116684843</v>
      </c>
      <c r="CF37" s="49">
        <f t="shared" si="8"/>
        <v>-15.180493587893093</v>
      </c>
      <c r="CG37" s="49">
        <f t="shared" si="8"/>
        <v>-2.4442776304397975E-2</v>
      </c>
      <c r="CH37" s="49">
        <f t="shared" si="8"/>
        <v>2.2744307132873395E-2</v>
      </c>
      <c r="CI37" s="49">
        <f t="shared" si="8"/>
        <v>-31.477101848969642</v>
      </c>
      <c r="CJ37" s="49">
        <f t="shared" si="8"/>
        <v>-22.349139933718011</v>
      </c>
      <c r="CK37" s="49">
        <f t="shared" si="8"/>
        <v>0</v>
      </c>
      <c r="CL37" s="49" t="e">
        <f t="shared" si="8"/>
        <v>#DIV/0!</v>
      </c>
      <c r="CM37" s="49" t="e">
        <f t="shared" si="6"/>
        <v>#DIV/0!</v>
      </c>
      <c r="CN37" s="49" t="e">
        <f t="shared" si="6"/>
        <v>#DIV/0!</v>
      </c>
      <c r="CO37" s="49" t="e">
        <f t="shared" si="6"/>
        <v>#DIV/0!</v>
      </c>
      <c r="CP37" s="49" t="e">
        <f t="shared" si="6"/>
        <v>#DIV/0!</v>
      </c>
      <c r="CQ37" s="49" t="e">
        <f t="shared" si="6"/>
        <v>#DIV/0!</v>
      </c>
      <c r="CR37" s="49" t="e">
        <f t="shared" si="6"/>
        <v>#DIV/0!</v>
      </c>
      <c r="CS37" s="49" t="e">
        <f t="shared" si="6"/>
        <v>#DIV/0!</v>
      </c>
      <c r="CT37" s="49" t="e">
        <f t="shared" si="6"/>
        <v>#DIV/0!</v>
      </c>
      <c r="CU37" s="49" t="e">
        <f t="shared" si="6"/>
        <v>#DIV/0!</v>
      </c>
    </row>
    <row r="38" spans="1:99">
      <c r="A38" s="53">
        <f>IF( ISBLANK(beam_frmt_noFPM!A72), "", beam_frmt_noFPM!A72)</f>
        <v>18</v>
      </c>
      <c r="B38" s="54">
        <f>IF( ISBLANK(beam_frmt_noFPM!B72), "", beam_frmt_noFPM!B72)</f>
        <v>1.482</v>
      </c>
      <c r="C38" s="54">
        <f>IF( ISBLANK(beam_frmt_noFPM!C72), "", beam_frmt_noFPM!C72)</f>
        <v>0</v>
      </c>
      <c r="D38" s="54">
        <f>IF( ISBLANK(beam_frmt_noFPM!D72), "", beam_frmt_noFPM!D72)</f>
        <v>0</v>
      </c>
      <c r="E38" s="54">
        <f>IF( ISBLANK(beam_frmt_noFPM!E72), "", beam_frmt_noFPM!E72)</f>
        <v>1.2000401740776856</v>
      </c>
      <c r="F38" s="54">
        <f>IF( ISBLANK(beam_frmt_noFPM!F72), "", beam_frmt_noFPM!F72)</f>
        <v>-1.7425580650707218E-3</v>
      </c>
      <c r="G38" s="54">
        <f>IF( ISBLANK(beam_frmt_noFPM!G72), "", beam_frmt_noFPM!G72)</f>
        <v>5.3503309420411724E-4</v>
      </c>
      <c r="H38" s="54">
        <f>IF( ISBLANK(beam_frmt_noFPM!H72), "", beam_frmt_noFPM!H72)</f>
        <v>8.7090800948928043E-6</v>
      </c>
      <c r="I38" s="54">
        <f>IF( ISBLANK(beam_frmt_noFPM!I72), "", beam_frmt_noFPM!I72)</f>
        <v>1.2623428560719142E-3</v>
      </c>
      <c r="J38" s="54">
        <f>IF( ISBLANK(beam_frmt_noFPM!J72), "", beam_frmt_noFPM!J72)</f>
        <v>4.1223938249966959E-5</v>
      </c>
      <c r="K38" s="55">
        <f>IF( ISBLANK(beam_frmt_noFPM!K72), "", beam_frmt_noFPM!K72)</f>
        <v>13878613.8380544</v>
      </c>
      <c r="L38" s="56">
        <f>IF( ISBLANK(beam_frmt_noFPM!L72), "", beam_frmt_noFPM!L72)</f>
        <v>12339.378801141302</v>
      </c>
      <c r="M38" s="55">
        <f>IF( ISBLANK(beam_frmt_noFPM!M72), "", beam_frmt_noFPM!M72)</f>
        <v>92015.920271774405</v>
      </c>
      <c r="N38" s="56">
        <f>IF( ISBLANK(beam_frmt_noFPM!N72), "", beam_frmt_noFPM!N72)</f>
        <v>92.924600605738817</v>
      </c>
      <c r="O38" s="55">
        <f>IF( ISBLANK(beam_frmt_noFPM!O72), "", beam_frmt_noFPM!O72)</f>
        <v>6051.0083568361106</v>
      </c>
      <c r="P38" s="56">
        <f>IF( ISBLANK(beam_frmt_noFPM!P72), "", beam_frmt_noFPM!P72)</f>
        <v>339.04075216725471</v>
      </c>
      <c r="Q38" s="55">
        <f>IF( ISBLANK(beam_frmt_noFPM!Q72), "", beam_frmt_noFPM!Q72)</f>
        <v>79.21002772919671</v>
      </c>
      <c r="R38" s="234">
        <f>IF( ISBLANK(beam_frmt_noFPM!R72), "", beam_frmt_noFPM!R72)</f>
        <v>171695.12268481535</v>
      </c>
      <c r="S38" s="236">
        <f>IF( ISBLANK(beam_frmt_noFPM!S72), "", beam_frmt_noFPM!S72)</f>
        <v>152031.77071000138</v>
      </c>
      <c r="T38" s="55">
        <f>IF( ISBLANK(beam_frmt_noFPM!T72), "", beam_frmt_noFPM!T72)</f>
        <v>258.88869128294493</v>
      </c>
      <c r="U38" s="55">
        <f>IF( ISBLANK(beam_frmt_noFPM!U72), "", beam_frmt_noFPM!U72)</f>
        <v>1265.4877141292075</v>
      </c>
      <c r="V38" s="206">
        <f>IF( ISBLANK(beam_frmt_noFPM!V72), "", beam_frmt_noFPM!V72)</f>
        <v>1.482</v>
      </c>
      <c r="W38" s="124"/>
      <c r="X38" s="124"/>
      <c r="Y38" s="124"/>
      <c r="Z38" s="124"/>
      <c r="AA38" s="124"/>
      <c r="AB38" s="124"/>
      <c r="AC38" s="124"/>
      <c r="AD38" s="124"/>
      <c r="AE38" s="124"/>
      <c r="AF38" s="100"/>
      <c r="AI38" s="2">
        <v>18</v>
      </c>
      <c r="AJ38">
        <v>1.482</v>
      </c>
      <c r="AK38">
        <v>0</v>
      </c>
      <c r="AL38">
        <v>0</v>
      </c>
      <c r="AM38" s="1">
        <v>1.199881</v>
      </c>
      <c r="AN38" s="1">
        <v>-1.789E-3</v>
      </c>
      <c r="AO38" s="1">
        <v>3.79E-4</v>
      </c>
      <c r="AP38" s="1">
        <v>1.087195E-5</v>
      </c>
      <c r="AQ38" s="1">
        <v>1.2596949999999999E-3</v>
      </c>
      <c r="AR38" s="1">
        <v>-6.6846299999999997E-5</v>
      </c>
      <c r="AS38" s="1">
        <v>13878540</v>
      </c>
      <c r="AT38" s="1">
        <v>16366.38</v>
      </c>
      <c r="AU38" s="1">
        <v>91380.92</v>
      </c>
      <c r="AV38" s="1">
        <v>97.534019999999998</v>
      </c>
      <c r="AW38" s="1">
        <v>6046.1019999999999</v>
      </c>
      <c r="AX38" s="1">
        <v>-322.75439999999998</v>
      </c>
      <c r="AY38" s="1">
        <v>93.386570000000006</v>
      </c>
      <c r="AZ38" s="235">
        <v>171737.1</v>
      </c>
      <c r="BA38" s="237">
        <v>151997.20000000001</v>
      </c>
      <c r="BB38" s="1">
        <v>377.8134</v>
      </c>
      <c r="BC38" s="1">
        <v>1629.7149999999999</v>
      </c>
      <c r="BD38" s="1">
        <v>1.482</v>
      </c>
      <c r="BE38" s="1"/>
      <c r="BF38" s="1"/>
      <c r="BG38" s="1"/>
      <c r="BH38" s="1"/>
      <c r="BI38" s="1"/>
      <c r="BJ38" s="1"/>
      <c r="BK38" s="1"/>
      <c r="BL38" s="1"/>
      <c r="BM38" s="1"/>
      <c r="BN38" s="67"/>
      <c r="BQ38" s="49">
        <f t="shared" si="7"/>
        <v>0</v>
      </c>
      <c r="BR38" s="49">
        <f t="shared" si="7"/>
        <v>0</v>
      </c>
      <c r="BS38" s="49">
        <f t="shared" si="7"/>
        <v>0</v>
      </c>
      <c r="BT38" s="49">
        <f t="shared" si="3"/>
        <v>1.3265822001150103E-2</v>
      </c>
      <c r="BU38" s="49">
        <f t="shared" si="4"/>
        <v>4.644193492927824E-5</v>
      </c>
      <c r="BV38" s="49">
        <f t="shared" si="4"/>
        <v>1.5603309420411725E-4</v>
      </c>
      <c r="BW38" s="49">
        <f t="shared" si="8"/>
        <v>-19.894038374966737</v>
      </c>
      <c r="BX38" s="49">
        <f t="shared" si="8"/>
        <v>0.21019818860234007</v>
      </c>
      <c r="BY38" s="49">
        <f t="shared" si="8"/>
        <v>-161.66973826519487</v>
      </c>
      <c r="BZ38" s="49">
        <f t="shared" si="8"/>
        <v>5.3203041818474699E-4</v>
      </c>
      <c r="CA38" s="49">
        <f t="shared" si="8"/>
        <v>-24.605326277763915</v>
      </c>
      <c r="CB38" s="49">
        <f t="shared" si="8"/>
        <v>0.69489371717247594</v>
      </c>
      <c r="CC38" s="49">
        <f t="shared" si="8"/>
        <v>-4.7259606384123005</v>
      </c>
      <c r="CD38" s="49">
        <f t="shared" si="8"/>
        <v>8.1149091366813156E-2</v>
      </c>
      <c r="CE38" s="49">
        <f t="shared" si="8"/>
        <v>-205.04605116684843</v>
      </c>
      <c r="CF38" s="49">
        <f t="shared" si="8"/>
        <v>-15.180493587893093</v>
      </c>
      <c r="CG38" s="49">
        <f t="shared" si="8"/>
        <v>-2.4442776304397975E-2</v>
      </c>
      <c r="CH38" s="49">
        <f t="shared" si="8"/>
        <v>2.2744307132873395E-2</v>
      </c>
      <c r="CI38" s="49">
        <f t="shared" si="8"/>
        <v>-31.477101848969642</v>
      </c>
      <c r="CJ38" s="49">
        <f t="shared" si="8"/>
        <v>-22.349139933718011</v>
      </c>
      <c r="CK38" s="49">
        <f t="shared" si="8"/>
        <v>0</v>
      </c>
      <c r="CL38" s="49" t="e">
        <f t="shared" si="8"/>
        <v>#DIV/0!</v>
      </c>
      <c r="CM38" s="49" t="e">
        <f t="shared" si="6"/>
        <v>#DIV/0!</v>
      </c>
      <c r="CN38" s="49" t="e">
        <f t="shared" si="6"/>
        <v>#DIV/0!</v>
      </c>
      <c r="CO38" s="49" t="e">
        <f t="shared" si="6"/>
        <v>#DIV/0!</v>
      </c>
      <c r="CP38" s="49" t="e">
        <f t="shared" si="6"/>
        <v>#DIV/0!</v>
      </c>
      <c r="CQ38" s="49" t="e">
        <f t="shared" si="6"/>
        <v>#DIV/0!</v>
      </c>
      <c r="CR38" s="49" t="e">
        <f t="shared" si="6"/>
        <v>#DIV/0!</v>
      </c>
      <c r="CS38" s="49" t="e">
        <f t="shared" si="6"/>
        <v>#DIV/0!</v>
      </c>
      <c r="CT38" s="49" t="e">
        <f t="shared" si="6"/>
        <v>#DIV/0!</v>
      </c>
      <c r="CU38" s="49" t="e">
        <f t="shared" si="6"/>
        <v>#DIV/0!</v>
      </c>
    </row>
    <row r="39" spans="1:99">
      <c r="A39" s="53" t="str">
        <f>IF( ISBLANK(beam_frmt_noFPM!A73), "", beam_frmt_noFPM!A73)</f>
        <v/>
      </c>
      <c r="B39" s="54">
        <f>IF( ISBLANK(beam_frmt_noFPM!B73), "", beam_frmt_noFPM!B73)</f>
        <v>1.5161</v>
      </c>
      <c r="C39" s="54">
        <f>IF( ISBLANK(beam_frmt_noFPM!C73), "", beam_frmt_noFPM!C73)</f>
        <v>0</v>
      </c>
      <c r="D39" s="54">
        <f>IF( ISBLANK(beam_frmt_noFPM!D73), "", beam_frmt_noFPM!D73)</f>
        <v>0</v>
      </c>
      <c r="E39" s="54">
        <f>IF( ISBLANK(beam_frmt_noFPM!E73), "", beam_frmt_noFPM!E73)</f>
        <v>1.0598026820632047</v>
      </c>
      <c r="F39" s="54">
        <f>IF( ISBLANK(beam_frmt_noFPM!F73), "", beam_frmt_noFPM!F73)</f>
        <v>3.9091937915035103E-3</v>
      </c>
      <c r="G39" s="54">
        <f>IF( ISBLANK(beam_frmt_noFPM!G73), "", beam_frmt_noFPM!G73)</f>
        <v>4.3307636108691017E-4</v>
      </c>
      <c r="H39" s="54">
        <f>IF( ISBLANK(beam_frmt_noFPM!H73), "", beam_frmt_noFPM!H73)</f>
        <v>7.9254360412785605E-6</v>
      </c>
      <c r="I39" s="54">
        <f>IF( ISBLANK(beam_frmt_noFPM!I73), "", beam_frmt_noFPM!I73)</f>
        <v>1.2016793447934503E-3</v>
      </c>
      <c r="J39" s="54">
        <f>IF( ISBLANK(beam_frmt_noFPM!J73), "", beam_frmt_noFPM!J73)</f>
        <v>3.965657500243518E-5</v>
      </c>
      <c r="K39" s="55">
        <f>IF( ISBLANK(beam_frmt_noFPM!K73), "", beam_frmt_noFPM!K73)</f>
        <v>11769111.766538538</v>
      </c>
      <c r="L39" s="56">
        <f>IF( ISBLANK(beam_frmt_noFPM!L73), "", beam_frmt_noFPM!L73)</f>
        <v>10282.245581751797</v>
      </c>
      <c r="M39" s="55">
        <f>IF( ISBLANK(beam_frmt_noFPM!M73), "", beam_frmt_noFPM!M73)</f>
        <v>81264.035475472963</v>
      </c>
      <c r="N39" s="56">
        <f>IF( ISBLANK(beam_frmt_noFPM!N73), "", beam_frmt_noFPM!N73)</f>
        <v>74.006486078706629</v>
      </c>
      <c r="O39" s="55">
        <f>IF( ISBLANK(beam_frmt_noFPM!O73), "", beam_frmt_noFPM!O73)</f>
        <v>5006.3962150544103</v>
      </c>
      <c r="P39" s="56">
        <f>IF( ISBLANK(beam_frmt_noFPM!P73), "", beam_frmt_noFPM!P73)</f>
        <v>289.06158688730085</v>
      </c>
      <c r="Q39" s="55">
        <f>IF( ISBLANK(beam_frmt_noFPM!Q73), "", beam_frmt_noFPM!Q73)</f>
        <v>62.116831773514463</v>
      </c>
      <c r="R39" s="234">
        <f>IF( ISBLANK(beam_frmt_noFPM!R73), "", beam_frmt_noFPM!R73)</f>
        <v>135310.77686918364</v>
      </c>
      <c r="S39" s="236">
        <f>IF( ISBLANK(beam_frmt_noFPM!S73), "", beam_frmt_noFPM!S73)</f>
        <v>119821.31247717874</v>
      </c>
      <c r="T39" s="55">
        <f>IF( ISBLANK(beam_frmt_noFPM!T73), "", beam_frmt_noFPM!T73)</f>
        <v>212.47416036079775</v>
      </c>
      <c r="U39" s="55">
        <f>IF( ISBLANK(beam_frmt_noFPM!U73), "", beam_frmt_noFPM!U73)</f>
        <v>978.77493140658521</v>
      </c>
      <c r="V39" s="206">
        <f>IF( ISBLANK(beam_frmt_noFPM!V73), "", beam_frmt_noFPM!V73)</f>
        <v>1.5161</v>
      </c>
      <c r="W39" s="124"/>
      <c r="X39" s="124"/>
      <c r="Y39" s="124"/>
      <c r="Z39" s="124"/>
      <c r="AA39" s="124"/>
      <c r="AB39" s="124"/>
      <c r="AC39" s="124"/>
      <c r="AD39" s="124"/>
      <c r="AE39" s="124"/>
      <c r="AF39" s="100"/>
      <c r="AI39" s="2"/>
      <c r="AJ39">
        <v>1.5161</v>
      </c>
      <c r="AK39">
        <v>0</v>
      </c>
      <c r="AL39">
        <v>0</v>
      </c>
      <c r="AM39" s="1">
        <v>1.0598030000000001</v>
      </c>
      <c r="AN39">
        <v>3.8579999999999999E-3</v>
      </c>
      <c r="AO39" s="1">
        <v>8.3500000000000002E-4</v>
      </c>
      <c r="AP39" s="1">
        <v>1.1616859999999999E-5</v>
      </c>
      <c r="AQ39" s="1">
        <v>1.2013519999999999E-3</v>
      </c>
      <c r="AR39" s="1">
        <v>-7.7742580000000002E-5</v>
      </c>
      <c r="AS39" s="1">
        <v>11769110</v>
      </c>
      <c r="AT39" s="1">
        <v>13838.89</v>
      </c>
      <c r="AU39" s="1">
        <v>81979.33</v>
      </c>
      <c r="AV39" s="1">
        <v>79.339659999999995</v>
      </c>
      <c r="AW39" s="1">
        <v>5017.3789999999999</v>
      </c>
      <c r="AX39" s="1">
        <v>-296.58449999999999</v>
      </c>
      <c r="AY39" s="1">
        <v>69.770009999999999</v>
      </c>
      <c r="AZ39" s="235">
        <v>135344.5</v>
      </c>
      <c r="BA39" s="237">
        <v>119787.6</v>
      </c>
      <c r="BB39" s="1">
        <v>279.37920000000003</v>
      </c>
      <c r="BC39" s="1">
        <v>1054.77</v>
      </c>
      <c r="BD39" s="1">
        <v>1.5161</v>
      </c>
      <c r="BE39" s="1"/>
      <c r="BF39" s="1"/>
      <c r="BG39" s="1"/>
      <c r="BH39" s="1"/>
      <c r="BI39" s="1"/>
      <c r="BJ39" s="1"/>
      <c r="BK39" s="1"/>
      <c r="BL39" s="1"/>
      <c r="BM39" s="1"/>
      <c r="BN39" s="67"/>
      <c r="BQ39" s="49">
        <f t="shared" si="7"/>
        <v>0</v>
      </c>
      <c r="BR39" s="49">
        <f t="shared" si="7"/>
        <v>0</v>
      </c>
      <c r="BS39" s="49">
        <f t="shared" si="7"/>
        <v>0</v>
      </c>
      <c r="BT39" s="49">
        <f t="shared" si="3"/>
        <v>-2.9999612695512966E-5</v>
      </c>
      <c r="BU39" s="49">
        <f t="shared" si="4"/>
        <v>5.1193791503510461E-5</v>
      </c>
      <c r="BV39" s="49">
        <f t="shared" si="4"/>
        <v>-4.0192363891308985E-4</v>
      </c>
      <c r="BW39" s="49">
        <f t="shared" si="8"/>
        <v>-31.776434929244559</v>
      </c>
      <c r="BX39" s="49">
        <f t="shared" si="8"/>
        <v>2.7248033336636914E-2</v>
      </c>
      <c r="BY39" s="49">
        <f t="shared" si="8"/>
        <v>-151.01010926372032</v>
      </c>
      <c r="BZ39" s="49">
        <f t="shared" si="8"/>
        <v>1.5009958595329049E-5</v>
      </c>
      <c r="CA39" s="49">
        <f t="shared" si="8"/>
        <v>-25.700359047930888</v>
      </c>
      <c r="CB39" s="49">
        <f t="shared" si="8"/>
        <v>-0.87253033725335194</v>
      </c>
      <c r="CC39" s="49">
        <f t="shared" si="8"/>
        <v>-6.7219520745278789</v>
      </c>
      <c r="CD39" s="49">
        <f t="shared" si="8"/>
        <v>-0.21889486414300433</v>
      </c>
      <c r="CE39" s="49">
        <f t="shared" si="8"/>
        <v>-197.46348406181068</v>
      </c>
      <c r="CF39" s="49">
        <f t="shared" si="8"/>
        <v>-10.969151683489134</v>
      </c>
      <c r="CG39" s="49">
        <f t="shared" si="8"/>
        <v>-2.4916513649509905E-2</v>
      </c>
      <c r="CH39" s="49">
        <f t="shared" si="8"/>
        <v>2.8143545057029977E-2</v>
      </c>
      <c r="CI39" s="49">
        <f t="shared" si="8"/>
        <v>-23.947752602628348</v>
      </c>
      <c r="CJ39" s="49">
        <f t="shared" si="8"/>
        <v>-7.2048947726437778</v>
      </c>
      <c r="CK39" s="49">
        <f t="shared" si="8"/>
        <v>0</v>
      </c>
      <c r="CL39" s="49" t="e">
        <f t="shared" si="8"/>
        <v>#DIV/0!</v>
      </c>
      <c r="CM39" s="49" t="e">
        <f t="shared" si="6"/>
        <v>#DIV/0!</v>
      </c>
      <c r="CN39" s="49" t="e">
        <f t="shared" si="6"/>
        <v>#DIV/0!</v>
      </c>
      <c r="CO39" s="49" t="e">
        <f t="shared" si="6"/>
        <v>#DIV/0!</v>
      </c>
      <c r="CP39" s="49" t="e">
        <f t="shared" si="6"/>
        <v>#DIV/0!</v>
      </c>
      <c r="CQ39" s="49" t="e">
        <f t="shared" si="6"/>
        <v>#DIV/0!</v>
      </c>
      <c r="CR39" s="49" t="e">
        <f t="shared" si="6"/>
        <v>#DIV/0!</v>
      </c>
      <c r="CS39" s="49" t="e">
        <f t="shared" si="6"/>
        <v>#DIV/0!</v>
      </c>
      <c r="CT39" s="49" t="e">
        <f t="shared" si="6"/>
        <v>#DIV/0!</v>
      </c>
      <c r="CU39" s="49" t="e">
        <f t="shared" si="6"/>
        <v>#DIV/0!</v>
      </c>
    </row>
    <row r="40" spans="1:99">
      <c r="A40" s="53">
        <f>IF( ISBLANK(beam_frmt_noFPM!A74), "", beam_frmt_noFPM!A74)</f>
        <v>19</v>
      </c>
      <c r="B40" s="54">
        <f>IF( ISBLANK(beam_frmt_noFPM!B74), "", beam_frmt_noFPM!B74)</f>
        <v>1.5161</v>
      </c>
      <c r="C40" s="54">
        <f>IF( ISBLANK(beam_frmt_noFPM!C74), "", beam_frmt_noFPM!C74)</f>
        <v>0</v>
      </c>
      <c r="D40" s="54">
        <f>IF( ISBLANK(beam_frmt_noFPM!D74), "", beam_frmt_noFPM!D74)</f>
        <v>0</v>
      </c>
      <c r="E40" s="54">
        <f>IF( ISBLANK(beam_frmt_noFPM!E74), "", beam_frmt_noFPM!E74)</f>
        <v>1.0598026820632047</v>
      </c>
      <c r="F40" s="54">
        <f>IF( ISBLANK(beam_frmt_noFPM!F74), "", beam_frmt_noFPM!F74)</f>
        <v>3.9091937915035103E-3</v>
      </c>
      <c r="G40" s="54">
        <f>IF( ISBLANK(beam_frmt_noFPM!G74), "", beam_frmt_noFPM!G74)</f>
        <v>4.3307636108691017E-4</v>
      </c>
      <c r="H40" s="54">
        <f>IF( ISBLANK(beam_frmt_noFPM!H74), "", beam_frmt_noFPM!H74)</f>
        <v>7.9254360412785605E-6</v>
      </c>
      <c r="I40" s="54">
        <f>IF( ISBLANK(beam_frmt_noFPM!I74), "", beam_frmt_noFPM!I74)</f>
        <v>1.2016793447934503E-3</v>
      </c>
      <c r="J40" s="54">
        <f>IF( ISBLANK(beam_frmt_noFPM!J74), "", beam_frmt_noFPM!J74)</f>
        <v>3.965657500243518E-5</v>
      </c>
      <c r="K40" s="55">
        <f>IF( ISBLANK(beam_frmt_noFPM!K74), "", beam_frmt_noFPM!K74)</f>
        <v>11769111.766538538</v>
      </c>
      <c r="L40" s="56">
        <f>IF( ISBLANK(beam_frmt_noFPM!L74), "", beam_frmt_noFPM!L74)</f>
        <v>10282.245581751797</v>
      </c>
      <c r="M40" s="55">
        <f>IF( ISBLANK(beam_frmt_noFPM!M74), "", beam_frmt_noFPM!M74)</f>
        <v>81264.035475472963</v>
      </c>
      <c r="N40" s="56">
        <f>IF( ISBLANK(beam_frmt_noFPM!N74), "", beam_frmt_noFPM!N74)</f>
        <v>74.006486078706629</v>
      </c>
      <c r="O40" s="55">
        <f>IF( ISBLANK(beam_frmt_noFPM!O74), "", beam_frmt_noFPM!O74)</f>
        <v>5006.3962150544103</v>
      </c>
      <c r="P40" s="56">
        <f>IF( ISBLANK(beam_frmt_noFPM!P74), "", beam_frmt_noFPM!P74)</f>
        <v>289.06158688730085</v>
      </c>
      <c r="Q40" s="55">
        <f>IF( ISBLANK(beam_frmt_noFPM!Q74), "", beam_frmt_noFPM!Q74)</f>
        <v>62.116831773514463</v>
      </c>
      <c r="R40" s="234">
        <f>IF( ISBLANK(beam_frmt_noFPM!R74), "", beam_frmt_noFPM!R74)</f>
        <v>135310.77686918364</v>
      </c>
      <c r="S40" s="236">
        <f>IF( ISBLANK(beam_frmt_noFPM!S74), "", beam_frmt_noFPM!S74)</f>
        <v>119821.31247717874</v>
      </c>
      <c r="T40" s="55">
        <f>IF( ISBLANK(beam_frmt_noFPM!T74), "", beam_frmt_noFPM!T74)</f>
        <v>212.47416036079775</v>
      </c>
      <c r="U40" s="55">
        <f>IF( ISBLANK(beam_frmt_noFPM!U74), "", beam_frmt_noFPM!U74)</f>
        <v>978.77493140658521</v>
      </c>
      <c r="V40" s="206">
        <f>IF( ISBLANK(beam_frmt_noFPM!V74), "", beam_frmt_noFPM!V74)</f>
        <v>1.5161</v>
      </c>
      <c r="W40" s="124"/>
      <c r="X40" s="124"/>
      <c r="Y40" s="124"/>
      <c r="Z40" s="124"/>
      <c r="AA40" s="124"/>
      <c r="AB40" s="124"/>
      <c r="AC40" s="124"/>
      <c r="AD40" s="124"/>
      <c r="AE40" s="124"/>
      <c r="AF40" s="100"/>
      <c r="AI40" s="2">
        <v>19</v>
      </c>
      <c r="AJ40">
        <v>1.5161</v>
      </c>
      <c r="AK40">
        <v>0</v>
      </c>
      <c r="AL40">
        <v>0</v>
      </c>
      <c r="AM40" s="1">
        <v>1.0598030000000001</v>
      </c>
      <c r="AN40" s="1">
        <v>3.8579999999999999E-3</v>
      </c>
      <c r="AO40" s="1">
        <v>8.3500000000000002E-4</v>
      </c>
      <c r="AP40" s="1">
        <v>1.1616859999999999E-5</v>
      </c>
      <c r="AQ40" s="1">
        <v>1.2013519999999999E-3</v>
      </c>
      <c r="AR40" s="1">
        <v>-7.7742580000000002E-5</v>
      </c>
      <c r="AS40" s="1">
        <v>11769110</v>
      </c>
      <c r="AT40" s="1">
        <v>13838.89</v>
      </c>
      <c r="AU40" s="1">
        <v>81979.33</v>
      </c>
      <c r="AV40" s="1">
        <v>79.339659999999995</v>
      </c>
      <c r="AW40" s="1">
        <v>5017.3789999999999</v>
      </c>
      <c r="AX40" s="1">
        <v>-296.58449999999999</v>
      </c>
      <c r="AY40" s="1">
        <v>69.770009999999999</v>
      </c>
      <c r="AZ40" s="235">
        <v>135344.5</v>
      </c>
      <c r="BA40" s="237">
        <v>119787.6</v>
      </c>
      <c r="BB40" s="1">
        <v>279.37920000000003</v>
      </c>
      <c r="BC40" s="1">
        <v>1054.77</v>
      </c>
      <c r="BD40" s="1">
        <v>1.5161</v>
      </c>
      <c r="BE40" s="1"/>
      <c r="BF40" s="1"/>
      <c r="BG40" s="1"/>
      <c r="BH40" s="1"/>
      <c r="BI40" s="1"/>
      <c r="BJ40" s="1"/>
      <c r="BK40" s="1"/>
      <c r="BL40" s="1"/>
      <c r="BM40" s="1"/>
      <c r="BN40" s="67"/>
      <c r="BQ40" s="49">
        <f t="shared" si="7"/>
        <v>0</v>
      </c>
      <c r="BR40" s="49">
        <f t="shared" si="7"/>
        <v>0</v>
      </c>
      <c r="BS40" s="49">
        <f t="shared" si="7"/>
        <v>0</v>
      </c>
      <c r="BT40" s="49">
        <f t="shared" si="3"/>
        <v>-2.9999612695512966E-5</v>
      </c>
      <c r="BU40" s="49">
        <f t="shared" si="4"/>
        <v>5.1193791503510461E-5</v>
      </c>
      <c r="BV40" s="49">
        <f t="shared" si="4"/>
        <v>-4.0192363891308985E-4</v>
      </c>
      <c r="BW40" s="49">
        <f t="shared" si="8"/>
        <v>-31.776434929244559</v>
      </c>
      <c r="BX40" s="49">
        <f t="shared" si="8"/>
        <v>2.7248033336636914E-2</v>
      </c>
      <c r="BY40" s="49">
        <f t="shared" si="8"/>
        <v>-151.01010926372032</v>
      </c>
      <c r="BZ40" s="49">
        <f t="shared" si="8"/>
        <v>1.5009958595329049E-5</v>
      </c>
      <c r="CA40" s="49">
        <f t="shared" si="8"/>
        <v>-25.700359047930888</v>
      </c>
      <c r="CB40" s="49">
        <f t="shared" si="8"/>
        <v>-0.87253033725335194</v>
      </c>
      <c r="CC40" s="49">
        <f t="shared" si="8"/>
        <v>-6.7219520745278789</v>
      </c>
      <c r="CD40" s="49">
        <f t="shared" si="8"/>
        <v>-0.21889486414300433</v>
      </c>
      <c r="CE40" s="49">
        <f t="shared" si="8"/>
        <v>-197.46348406181068</v>
      </c>
      <c r="CF40" s="49">
        <f t="shared" si="8"/>
        <v>-10.969151683489134</v>
      </c>
      <c r="CG40" s="49">
        <f t="shared" si="8"/>
        <v>-2.4916513649509905E-2</v>
      </c>
      <c r="CH40" s="49">
        <f t="shared" si="8"/>
        <v>2.8143545057029977E-2</v>
      </c>
      <c r="CI40" s="49">
        <f t="shared" si="8"/>
        <v>-23.947752602628348</v>
      </c>
      <c r="CJ40" s="49">
        <f t="shared" si="8"/>
        <v>-7.2048947726437778</v>
      </c>
      <c r="CK40" s="49">
        <f t="shared" si="8"/>
        <v>0</v>
      </c>
      <c r="CL40" s="49" t="e">
        <f t="shared" si="8"/>
        <v>#DIV/0!</v>
      </c>
      <c r="CM40" s="49" t="e">
        <f t="shared" si="6"/>
        <v>#DIV/0!</v>
      </c>
      <c r="CN40" s="49" t="e">
        <f t="shared" si="6"/>
        <v>#DIV/0!</v>
      </c>
      <c r="CO40" s="49" t="e">
        <f t="shared" si="6"/>
        <v>#DIV/0!</v>
      </c>
      <c r="CP40" s="49" t="e">
        <f t="shared" si="6"/>
        <v>#DIV/0!</v>
      </c>
      <c r="CQ40" s="49" t="e">
        <f t="shared" si="6"/>
        <v>#DIV/0!</v>
      </c>
      <c r="CR40" s="49" t="e">
        <f t="shared" si="6"/>
        <v>#DIV/0!</v>
      </c>
      <c r="CS40" s="49" t="e">
        <f t="shared" si="6"/>
        <v>#DIV/0!</v>
      </c>
      <c r="CT40" s="49" t="e">
        <f t="shared" si="6"/>
        <v>#DIV/0!</v>
      </c>
      <c r="CU40" s="49" t="e">
        <f t="shared" si="6"/>
        <v>#DIV/0!</v>
      </c>
    </row>
    <row r="41" spans="1:99">
      <c r="A41" s="53" t="str">
        <f>IF( ISBLANK(beam_frmt_noFPM!A75), "", beam_frmt_noFPM!A75)</f>
        <v/>
      </c>
      <c r="B41" s="54">
        <f>IF( ISBLANK(beam_frmt_noFPM!B75), "", beam_frmt_noFPM!B75)</f>
        <v>1.5490999999999999</v>
      </c>
      <c r="C41" s="54">
        <f>IF( ISBLANK(beam_frmt_noFPM!C75), "", beam_frmt_noFPM!C75)</f>
        <v>1.9099999999999999E-2</v>
      </c>
      <c r="D41" s="54">
        <f>IF( ISBLANK(beam_frmt_noFPM!D75), "", beam_frmt_noFPM!D75)</f>
        <v>0</v>
      </c>
      <c r="E41" s="54">
        <f>IF( ISBLANK(beam_frmt_noFPM!E75), "", beam_frmt_noFPM!E75)</f>
        <v>0.73476911295717273</v>
      </c>
      <c r="F41" s="54">
        <f>IF( ISBLANK(beam_frmt_noFPM!F75), "", beam_frmt_noFPM!F75)</f>
        <v>6.554835312507193E-3</v>
      </c>
      <c r="G41" s="54">
        <f>IF( ISBLANK(beam_frmt_noFPM!G75), "", beam_frmt_noFPM!G75)</f>
        <v>2.0857441642095089E-4</v>
      </c>
      <c r="H41" s="54">
        <f>IF( ISBLANK(beam_frmt_noFPM!H75), "", beam_frmt_noFPM!H75)</f>
        <v>5.1734507703686521E-6</v>
      </c>
      <c r="I41" s="54">
        <f>IF( ISBLANK(beam_frmt_noFPM!I75), "", beam_frmt_noFPM!I75)</f>
        <v>7.4464292864968092E-4</v>
      </c>
      <c r="J41" s="54">
        <f>IF( ISBLANK(beam_frmt_noFPM!J75), "", beam_frmt_noFPM!J75)</f>
        <v>2.8510050181947034E-5</v>
      </c>
      <c r="K41" s="55">
        <f>IF( ISBLANK(beam_frmt_noFPM!K75), "", beam_frmt_noFPM!K75)</f>
        <v>8807902.7895793393</v>
      </c>
      <c r="L41" s="56">
        <f>IF( ISBLANK(beam_frmt_noFPM!L75), "", beam_frmt_noFPM!L75)</f>
        <v>6915.3654591235327</v>
      </c>
      <c r="M41" s="55">
        <f>IF( ISBLANK(beam_frmt_noFPM!M75), "", beam_frmt_noFPM!M75)</f>
        <v>62686.675264513899</v>
      </c>
      <c r="N41" s="56">
        <f>IF( ISBLANK(beam_frmt_noFPM!N75), "", beam_frmt_noFPM!N75)</f>
        <v>45.38993238672397</v>
      </c>
      <c r="O41" s="55">
        <f>IF( ISBLANK(beam_frmt_noFPM!O75), "", beam_frmt_noFPM!O75)</f>
        <v>3326.2989424445541</v>
      </c>
      <c r="P41" s="56">
        <f>IF( ISBLANK(beam_frmt_noFPM!P75), "", beam_frmt_noFPM!P75)</f>
        <v>200.07923692342041</v>
      </c>
      <c r="Q41" s="55">
        <f>IF( ISBLANK(beam_frmt_noFPM!Q75), "", beam_frmt_noFPM!Q75)</f>
        <v>37.436678685700528</v>
      </c>
      <c r="R41" s="234">
        <f>IF( ISBLANK(beam_frmt_noFPM!R75), "", beam_frmt_noFPM!R75)</f>
        <v>88545.635618162894</v>
      </c>
      <c r="S41" s="236">
        <f>IF( ISBLANK(beam_frmt_noFPM!S75), "", beam_frmt_noFPM!S75)</f>
        <v>78414.939388306782</v>
      </c>
      <c r="T41" s="55">
        <f>IF( ISBLANK(beam_frmt_noFPM!T75), "", beam_frmt_noFPM!T75)</f>
        <v>124.93133121968052</v>
      </c>
      <c r="U41" s="55">
        <f>IF( ISBLANK(beam_frmt_noFPM!U75), "", beam_frmt_noFPM!U75)</f>
        <v>525.28371428097478</v>
      </c>
      <c r="V41" s="206">
        <f>IF( ISBLANK(beam_frmt_noFPM!V75), "", beam_frmt_noFPM!V75)</f>
        <v>1.5490999999999999</v>
      </c>
      <c r="W41" s="124"/>
      <c r="X41" s="124"/>
      <c r="Y41" s="124"/>
      <c r="Z41" s="124"/>
      <c r="AA41" s="124"/>
      <c r="AB41" s="124"/>
      <c r="AC41" s="124"/>
      <c r="AD41" s="124"/>
      <c r="AE41" s="124"/>
      <c r="AF41" s="100"/>
      <c r="AI41" s="2"/>
      <c r="AJ41">
        <v>1.5490999999999999</v>
      </c>
      <c r="AK41">
        <v>1.9099999999999999E-2</v>
      </c>
      <c r="AL41">
        <v>0</v>
      </c>
      <c r="AM41" s="1">
        <v>0.73434109999999997</v>
      </c>
      <c r="AN41">
        <v>6.522E-3</v>
      </c>
      <c r="AO41" s="1">
        <v>9.4200000000000002E-4</v>
      </c>
      <c r="AP41" s="1">
        <v>7.4463759999999997E-6</v>
      </c>
      <c r="AQ41" s="1">
        <v>7.5006240000000004E-4</v>
      </c>
      <c r="AR41" s="1">
        <v>-5.0786279999999997E-5</v>
      </c>
      <c r="AS41" s="1">
        <v>8804003</v>
      </c>
      <c r="AT41" s="1">
        <v>9810.7800000000007</v>
      </c>
      <c r="AU41" s="1">
        <v>63839.26</v>
      </c>
      <c r="AV41" s="1">
        <v>49.447859999999999</v>
      </c>
      <c r="AW41" s="1">
        <v>3340.9650000000001</v>
      </c>
      <c r="AX41" s="1">
        <v>-212.3493</v>
      </c>
      <c r="AY41" s="1">
        <v>39.401829999999997</v>
      </c>
      <c r="AZ41" s="235">
        <v>88508.95</v>
      </c>
      <c r="BA41" s="237">
        <v>78335.509999999995</v>
      </c>
      <c r="BB41" s="1">
        <v>141.98820000000001</v>
      </c>
      <c r="BC41" s="1">
        <v>427.86669999999998</v>
      </c>
      <c r="BD41" s="1">
        <v>1.5490999999999999</v>
      </c>
      <c r="BE41" s="1"/>
      <c r="BF41" s="1"/>
      <c r="BG41" s="1"/>
      <c r="BH41" s="1"/>
      <c r="BI41" s="1"/>
      <c r="BJ41" s="1"/>
      <c r="BK41" s="1"/>
      <c r="BL41" s="1"/>
      <c r="BM41" s="1"/>
      <c r="BN41" s="67"/>
      <c r="BQ41" s="49">
        <f t="shared" si="7"/>
        <v>0</v>
      </c>
      <c r="BR41" s="49">
        <f t="shared" si="7"/>
        <v>0</v>
      </c>
      <c r="BS41" s="49">
        <f t="shared" si="7"/>
        <v>0</v>
      </c>
      <c r="BT41" s="49">
        <f t="shared" si="3"/>
        <v>5.8285305993735492E-2</v>
      </c>
      <c r="BU41" s="49">
        <f t="shared" si="4"/>
        <v>3.2835312507193022E-5</v>
      </c>
      <c r="BV41" s="49">
        <f t="shared" si="4"/>
        <v>-7.3342558357904913E-4</v>
      </c>
      <c r="BW41" s="49">
        <f t="shared" si="8"/>
        <v>-30.523911626693952</v>
      </c>
      <c r="BX41" s="49">
        <f t="shared" si="8"/>
        <v>-0.72253606504193835</v>
      </c>
      <c r="BY41" s="49">
        <f t="shared" si="8"/>
        <v>-156.13730752074585</v>
      </c>
      <c r="BZ41" s="49">
        <f t="shared" si="8"/>
        <v>4.429564119116413E-2</v>
      </c>
      <c r="CA41" s="49">
        <f t="shared" si="8"/>
        <v>-29.512582494729962</v>
      </c>
      <c r="CB41" s="49">
        <f t="shared" si="8"/>
        <v>-1.8054481450538487</v>
      </c>
      <c r="CC41" s="49">
        <f t="shared" si="8"/>
        <v>-8.2064777187041642</v>
      </c>
      <c r="CD41" s="49">
        <f t="shared" si="8"/>
        <v>-0.4389766895326967</v>
      </c>
      <c r="CE41" s="49">
        <f t="shared" si="8"/>
        <v>-194.2217548743605</v>
      </c>
      <c r="CF41" s="49">
        <f t="shared" si="8"/>
        <v>-4.9874620399597402</v>
      </c>
      <c r="CG41" s="49">
        <f t="shared" si="8"/>
        <v>4.1448484207413261E-2</v>
      </c>
      <c r="CH41" s="49">
        <f t="shared" si="8"/>
        <v>0.10139640158950596</v>
      </c>
      <c r="CI41" s="49">
        <f t="shared" si="8"/>
        <v>-12.012877675975533</v>
      </c>
      <c r="CJ41" s="49">
        <f t="shared" si="8"/>
        <v>22.768075730355928</v>
      </c>
      <c r="CK41" s="49">
        <f t="shared" si="8"/>
        <v>0</v>
      </c>
      <c r="CL41" s="49" t="e">
        <f t="shared" si="8"/>
        <v>#DIV/0!</v>
      </c>
      <c r="CM41" s="49" t="e">
        <f t="shared" si="6"/>
        <v>#DIV/0!</v>
      </c>
      <c r="CN41" s="49" t="e">
        <f t="shared" si="6"/>
        <v>#DIV/0!</v>
      </c>
      <c r="CO41" s="49" t="e">
        <f t="shared" si="6"/>
        <v>#DIV/0!</v>
      </c>
      <c r="CP41" s="49" t="e">
        <f t="shared" si="6"/>
        <v>#DIV/0!</v>
      </c>
      <c r="CQ41" s="49" t="e">
        <f t="shared" si="6"/>
        <v>#DIV/0!</v>
      </c>
      <c r="CR41" s="49" t="e">
        <f t="shared" si="6"/>
        <v>#DIV/0!</v>
      </c>
      <c r="CS41" s="49" t="e">
        <f t="shared" si="6"/>
        <v>#DIV/0!</v>
      </c>
      <c r="CT41" s="49" t="e">
        <f t="shared" si="6"/>
        <v>#DIV/0!</v>
      </c>
      <c r="CU41" s="49" t="e">
        <f t="shared" si="6"/>
        <v>#DIV/0!</v>
      </c>
    </row>
    <row r="42" spans="1:99">
      <c r="A42" s="53">
        <f>IF( ISBLANK(beam_frmt_noFPM!A76), "", beam_frmt_noFPM!A76)</f>
        <v>20</v>
      </c>
      <c r="B42" s="54">
        <f>IF( ISBLANK(beam_frmt_noFPM!B76), "", beam_frmt_noFPM!B76)</f>
        <v>1.5490999999999999</v>
      </c>
      <c r="C42" s="54">
        <f>IF( ISBLANK(beam_frmt_noFPM!C76), "", beam_frmt_noFPM!C76)</f>
        <v>1.9099999999999999E-2</v>
      </c>
      <c r="D42" s="54">
        <f>IF( ISBLANK(beam_frmt_noFPM!D76), "", beam_frmt_noFPM!D76)</f>
        <v>0</v>
      </c>
      <c r="E42" s="54">
        <f>IF( ISBLANK(beam_frmt_noFPM!E76), "", beam_frmt_noFPM!E76)</f>
        <v>0.73476911295717273</v>
      </c>
      <c r="F42" s="54">
        <f>IF( ISBLANK(beam_frmt_noFPM!F76), "", beam_frmt_noFPM!F76)</f>
        <v>6.554835312507193E-3</v>
      </c>
      <c r="G42" s="54">
        <f>IF( ISBLANK(beam_frmt_noFPM!G76), "", beam_frmt_noFPM!G76)</f>
        <v>2.0857441642095089E-4</v>
      </c>
      <c r="H42" s="54">
        <f>IF( ISBLANK(beam_frmt_noFPM!H76), "", beam_frmt_noFPM!H76)</f>
        <v>5.1734507703686521E-6</v>
      </c>
      <c r="I42" s="54">
        <f>IF( ISBLANK(beam_frmt_noFPM!I76), "", beam_frmt_noFPM!I76)</f>
        <v>7.4464292864968092E-4</v>
      </c>
      <c r="J42" s="54">
        <f>IF( ISBLANK(beam_frmt_noFPM!J76), "", beam_frmt_noFPM!J76)</f>
        <v>2.8510050181947034E-5</v>
      </c>
      <c r="K42" s="55">
        <f>IF( ISBLANK(beam_frmt_noFPM!K76), "", beam_frmt_noFPM!K76)</f>
        <v>8807902.7895793393</v>
      </c>
      <c r="L42" s="56">
        <f>IF( ISBLANK(beam_frmt_noFPM!L76), "", beam_frmt_noFPM!L76)</f>
        <v>6915.3654591235327</v>
      </c>
      <c r="M42" s="55">
        <f>IF( ISBLANK(beam_frmt_noFPM!M76), "", beam_frmt_noFPM!M76)</f>
        <v>62686.675264513899</v>
      </c>
      <c r="N42" s="56">
        <f>IF( ISBLANK(beam_frmt_noFPM!N76), "", beam_frmt_noFPM!N76)</f>
        <v>45.38993238672397</v>
      </c>
      <c r="O42" s="55">
        <f>IF( ISBLANK(beam_frmt_noFPM!O76), "", beam_frmt_noFPM!O76)</f>
        <v>3326.2989424445541</v>
      </c>
      <c r="P42" s="56">
        <f>IF( ISBLANK(beam_frmt_noFPM!P76), "", beam_frmt_noFPM!P76)</f>
        <v>200.07923692342041</v>
      </c>
      <c r="Q42" s="55">
        <f>IF( ISBLANK(beam_frmt_noFPM!Q76), "", beam_frmt_noFPM!Q76)</f>
        <v>37.436678685700528</v>
      </c>
      <c r="R42" s="234">
        <f>IF( ISBLANK(beam_frmt_noFPM!R76), "", beam_frmt_noFPM!R76)</f>
        <v>88545.635618162894</v>
      </c>
      <c r="S42" s="236">
        <f>IF( ISBLANK(beam_frmt_noFPM!S76), "", beam_frmt_noFPM!S76)</f>
        <v>78414.939388306782</v>
      </c>
      <c r="T42" s="55">
        <f>IF( ISBLANK(beam_frmt_noFPM!T76), "", beam_frmt_noFPM!T76)</f>
        <v>124.93133121968052</v>
      </c>
      <c r="U42" s="55">
        <f>IF( ISBLANK(beam_frmt_noFPM!U76), "", beam_frmt_noFPM!U76)</f>
        <v>525.28371428097478</v>
      </c>
      <c r="V42" s="206">
        <f>IF( ISBLANK(beam_frmt_noFPM!V76), "", beam_frmt_noFPM!V76)</f>
        <v>1.5490999999999999</v>
      </c>
      <c r="W42" s="124"/>
      <c r="X42" s="124"/>
      <c r="Y42" s="124"/>
      <c r="Z42" s="124"/>
      <c r="AA42" s="124"/>
      <c r="AB42" s="124"/>
      <c r="AC42" s="124"/>
      <c r="AD42" s="124"/>
      <c r="AE42" s="124"/>
      <c r="AF42" s="100"/>
      <c r="AI42" s="2">
        <v>20</v>
      </c>
      <c r="AJ42">
        <v>1.5490999999999999</v>
      </c>
      <c r="AK42">
        <v>1.9099999999999999E-2</v>
      </c>
      <c r="AL42">
        <v>0</v>
      </c>
      <c r="AM42" s="1">
        <v>0.73434109999999997</v>
      </c>
      <c r="AN42" s="1">
        <v>6.522E-3</v>
      </c>
      <c r="AO42" s="1">
        <v>9.4200000000000002E-4</v>
      </c>
      <c r="AP42" s="1">
        <v>7.4463759999999997E-6</v>
      </c>
      <c r="AQ42" s="1">
        <v>7.5006240000000004E-4</v>
      </c>
      <c r="AR42" s="1">
        <v>-5.0786279999999997E-5</v>
      </c>
      <c r="AS42" s="1">
        <v>8804003</v>
      </c>
      <c r="AT42" s="1">
        <v>9810.7800000000007</v>
      </c>
      <c r="AU42" s="1">
        <v>63839.26</v>
      </c>
      <c r="AV42" s="1">
        <v>49.447859999999999</v>
      </c>
      <c r="AW42" s="1">
        <v>3340.9650000000001</v>
      </c>
      <c r="AX42" s="1">
        <v>-212.3493</v>
      </c>
      <c r="AY42" s="1">
        <v>39.401829999999997</v>
      </c>
      <c r="AZ42" s="235">
        <v>88508.95</v>
      </c>
      <c r="BA42" s="237">
        <v>78335.509999999995</v>
      </c>
      <c r="BB42" s="1">
        <v>141.98820000000001</v>
      </c>
      <c r="BC42" s="1">
        <v>427.86669999999998</v>
      </c>
      <c r="BD42" s="1">
        <v>1.5490999999999999</v>
      </c>
      <c r="BE42" s="1"/>
      <c r="BF42" s="1"/>
      <c r="BG42" s="1"/>
      <c r="BH42" s="1"/>
      <c r="BI42" s="1"/>
      <c r="BJ42" s="1"/>
      <c r="BK42" s="1"/>
      <c r="BL42" s="1"/>
      <c r="BM42" s="1"/>
      <c r="BN42" s="67"/>
      <c r="BQ42" s="49">
        <f t="shared" si="7"/>
        <v>0</v>
      </c>
      <c r="BR42" s="49">
        <f t="shared" si="7"/>
        <v>0</v>
      </c>
      <c r="BS42" s="49">
        <f t="shared" si="7"/>
        <v>0</v>
      </c>
      <c r="BT42" s="49">
        <f t="shared" si="3"/>
        <v>5.8285305993735492E-2</v>
      </c>
      <c r="BU42" s="49">
        <f t="shared" si="4"/>
        <v>3.2835312507193022E-5</v>
      </c>
      <c r="BV42" s="49">
        <f t="shared" si="4"/>
        <v>-7.3342558357904913E-4</v>
      </c>
      <c r="BW42" s="49">
        <f t="shared" si="8"/>
        <v>-30.523911626693952</v>
      </c>
      <c r="BX42" s="49">
        <f t="shared" si="8"/>
        <v>-0.72253606504193835</v>
      </c>
      <c r="BY42" s="49">
        <f t="shared" si="8"/>
        <v>-156.13730752074585</v>
      </c>
      <c r="BZ42" s="49">
        <f t="shared" si="8"/>
        <v>4.429564119116413E-2</v>
      </c>
      <c r="CA42" s="49">
        <f t="shared" si="8"/>
        <v>-29.512582494729962</v>
      </c>
      <c r="CB42" s="49">
        <f t="shared" si="8"/>
        <v>-1.8054481450538487</v>
      </c>
      <c r="CC42" s="49">
        <f t="shared" si="8"/>
        <v>-8.2064777187041642</v>
      </c>
      <c r="CD42" s="49">
        <f t="shared" si="8"/>
        <v>-0.4389766895326967</v>
      </c>
      <c r="CE42" s="49">
        <f t="shared" si="8"/>
        <v>-194.2217548743605</v>
      </c>
      <c r="CF42" s="49">
        <f t="shared" si="8"/>
        <v>-4.9874620399597402</v>
      </c>
      <c r="CG42" s="49">
        <f t="shared" si="8"/>
        <v>4.1448484207413261E-2</v>
      </c>
      <c r="CH42" s="49">
        <f t="shared" si="8"/>
        <v>0.10139640158950596</v>
      </c>
      <c r="CI42" s="49">
        <f t="shared" si="8"/>
        <v>-12.012877675975533</v>
      </c>
      <c r="CJ42" s="49">
        <f t="shared" si="8"/>
        <v>22.768075730355928</v>
      </c>
      <c r="CK42" s="49">
        <f t="shared" si="8"/>
        <v>0</v>
      </c>
      <c r="CL42" s="49" t="e">
        <f t="shared" si="8"/>
        <v>#DIV/0!</v>
      </c>
      <c r="CM42" s="49" t="e">
        <f t="shared" si="6"/>
        <v>#DIV/0!</v>
      </c>
      <c r="CN42" s="49" t="e">
        <f t="shared" si="6"/>
        <v>#DIV/0!</v>
      </c>
      <c r="CO42" s="49" t="e">
        <f t="shared" si="6"/>
        <v>#DIV/0!</v>
      </c>
      <c r="CP42" s="49" t="e">
        <f t="shared" si="6"/>
        <v>#DIV/0!</v>
      </c>
      <c r="CQ42" s="49" t="e">
        <f t="shared" si="6"/>
        <v>#DIV/0!</v>
      </c>
      <c r="CR42" s="49" t="e">
        <f t="shared" si="6"/>
        <v>#DIV/0!</v>
      </c>
      <c r="CS42" s="49" t="e">
        <f t="shared" si="6"/>
        <v>#DIV/0!</v>
      </c>
      <c r="CT42" s="49" t="e">
        <f t="shared" si="6"/>
        <v>#DIV/0!</v>
      </c>
      <c r="CU42" s="49" t="e">
        <f t="shared" si="6"/>
        <v>#DIV/0!</v>
      </c>
    </row>
    <row r="43" spans="1:99">
      <c r="A43" s="53" t="str">
        <f>IF( ISBLANK(beam_frmt_noFPM!A77), "", beam_frmt_noFPM!A77)</f>
        <v/>
      </c>
      <c r="B43" s="54">
        <f>IF( ISBLANK(beam_frmt_noFPM!B77), "", beam_frmt_noFPM!B77)</f>
        <v>1.5824</v>
      </c>
      <c r="C43" s="54">
        <f>IF( ISBLANK(beam_frmt_noFPM!C77), "", beam_frmt_noFPM!C77)</f>
        <v>3.8199999999999998E-2</v>
      </c>
      <c r="D43" s="54">
        <f>IF( ISBLANK(beam_frmt_noFPM!D77), "", beam_frmt_noFPM!D77)</f>
        <v>0</v>
      </c>
      <c r="E43" s="54">
        <f>IF( ISBLANK(beam_frmt_noFPM!E77), "", beam_frmt_noFPM!E77)</f>
        <v>0.40678069322290245</v>
      </c>
      <c r="F43" s="54">
        <f>IF( ISBLANK(beam_frmt_noFPM!F77), "", beam_frmt_noFPM!F77)</f>
        <v>9.2245281200654689E-3</v>
      </c>
      <c r="G43" s="54">
        <f>IF( ISBLANK(beam_frmt_noFPM!G77), "", beam_frmt_noFPM!G77)</f>
        <v>-1.7968455014700114E-5</v>
      </c>
      <c r="H43" s="54">
        <f>IF( ISBLANK(beam_frmt_noFPM!H77), "", beam_frmt_noFPM!H77)</f>
        <v>2.3964474515413658E-6</v>
      </c>
      <c r="I43" s="54">
        <f>IF( ISBLANK(beam_frmt_noFPM!I77), "", beam_frmt_noFPM!I77)</f>
        <v>2.8345163599551113E-4</v>
      </c>
      <c r="J43" s="54">
        <f>IF( ISBLANK(beam_frmt_noFPM!J77), "", beam_frmt_noFPM!J77)</f>
        <v>1.726219331763621E-5</v>
      </c>
      <c r="K43" s="55">
        <f>IF( ISBLANK(beam_frmt_noFPM!K77), "", beam_frmt_noFPM!K77)</f>
        <v>5819773.7310114065</v>
      </c>
      <c r="L43" s="56">
        <f>IF( ISBLANK(beam_frmt_noFPM!L77), "", beam_frmt_noFPM!L77)</f>
        <v>3517.8773353804481</v>
      </c>
      <c r="M43" s="55">
        <f>IF( ISBLANK(beam_frmt_noFPM!M77), "", beam_frmt_noFPM!M77)</f>
        <v>43940.42996072783</v>
      </c>
      <c r="N43" s="56">
        <f>IF( ISBLANK(beam_frmt_noFPM!N77), "", beam_frmt_noFPM!N77)</f>
        <v>16.51322820663222</v>
      </c>
      <c r="O43" s="55">
        <f>IF( ISBLANK(beam_frmt_noFPM!O77), "", beam_frmt_noFPM!O77)</f>
        <v>1630.9280582655092</v>
      </c>
      <c r="P43" s="56">
        <f>IF( ISBLANK(beam_frmt_noFPM!P77), "", beam_frmt_noFPM!P77)</f>
        <v>110.28795650532237</v>
      </c>
      <c r="Q43" s="55">
        <f>IF( ISBLANK(beam_frmt_noFPM!Q77), "", beam_frmt_noFPM!Q77)</f>
        <v>12.532160569815417</v>
      </c>
      <c r="R43" s="234">
        <f>IF( ISBLANK(beam_frmt_noFPM!R77), "", beam_frmt_noFPM!R77)</f>
        <v>41355.356719405361</v>
      </c>
      <c r="S43" s="236">
        <f>IF( ISBLANK(beam_frmt_noFPM!S77), "", beam_frmt_noFPM!S77)</f>
        <v>36632.144725899387</v>
      </c>
      <c r="T43" s="55">
        <f>IF( ISBLANK(beam_frmt_noFPM!T77), "", beam_frmt_noFPM!T77)</f>
        <v>36.59265817727993</v>
      </c>
      <c r="U43" s="55">
        <f>IF( ISBLANK(beam_frmt_noFPM!U77), "", beam_frmt_noFPM!U77)</f>
        <v>67.669849726947177</v>
      </c>
      <c r="V43" s="206">
        <f>IF( ISBLANK(beam_frmt_noFPM!V77), "", beam_frmt_noFPM!V77)</f>
        <v>1.5824</v>
      </c>
      <c r="W43" s="124"/>
      <c r="X43" s="124"/>
      <c r="Y43" s="124"/>
      <c r="Z43" s="124"/>
      <c r="AA43" s="124"/>
      <c r="AB43" s="124"/>
      <c r="AC43" s="124"/>
      <c r="AD43" s="124"/>
      <c r="AE43" s="124"/>
      <c r="AF43" s="100"/>
      <c r="AI43" s="2"/>
      <c r="AJ43">
        <v>1.5824</v>
      </c>
      <c r="AK43">
        <v>3.8199999999999998E-2</v>
      </c>
      <c r="AL43">
        <v>0</v>
      </c>
      <c r="AM43" s="1">
        <v>0.40668379999999998</v>
      </c>
      <c r="AN43">
        <v>9.2029999999999994E-3</v>
      </c>
      <c r="AO43" s="1">
        <v>1.075E-3</v>
      </c>
      <c r="AP43" s="1">
        <v>2.5345419999999999E-6</v>
      </c>
      <c r="AQ43" s="1">
        <v>2.8398859999999998E-4</v>
      </c>
      <c r="AR43" s="1">
        <v>-1.7580989999999999E-5</v>
      </c>
      <c r="AS43" s="1">
        <v>5818891</v>
      </c>
      <c r="AT43" s="1">
        <v>6140.2539999999999</v>
      </c>
      <c r="AU43" s="1">
        <v>43870.77</v>
      </c>
      <c r="AV43" s="1">
        <v>18.85697</v>
      </c>
      <c r="AW43" s="1">
        <v>1631.37</v>
      </c>
      <c r="AX43" s="1">
        <v>-113.1828</v>
      </c>
      <c r="AY43" s="1">
        <v>12.69379</v>
      </c>
      <c r="AZ43" s="235">
        <v>41357.47</v>
      </c>
      <c r="BA43" s="237">
        <v>36603.74</v>
      </c>
      <c r="BB43" s="1">
        <v>46.010179999999998</v>
      </c>
      <c r="BC43" s="1">
        <v>76.918719999999993</v>
      </c>
      <c r="BD43" s="1">
        <v>1.5824</v>
      </c>
      <c r="BE43" s="1"/>
      <c r="BF43" s="1"/>
      <c r="BG43" s="1"/>
      <c r="BH43" s="1"/>
      <c r="BI43" s="1"/>
      <c r="BJ43" s="1"/>
      <c r="BK43" s="1"/>
      <c r="BL43" s="1"/>
      <c r="BM43" s="1"/>
      <c r="BN43" s="67"/>
      <c r="BQ43" s="49">
        <f t="shared" si="7"/>
        <v>0</v>
      </c>
      <c r="BR43" s="49">
        <f t="shared" si="7"/>
        <v>0</v>
      </c>
      <c r="BS43" s="49">
        <f t="shared" si="7"/>
        <v>0</v>
      </c>
      <c r="BT43" s="49">
        <f t="shared" si="3"/>
        <v>2.3825198570108043E-2</v>
      </c>
      <c r="BU43" s="49">
        <f t="shared" si="4"/>
        <v>2.1528120065469544E-5</v>
      </c>
      <c r="BV43" s="49">
        <f t="shared" si="4"/>
        <v>-1.0929684550147001E-3</v>
      </c>
      <c r="BW43" s="49">
        <f t="shared" si="8"/>
        <v>-5.4485010885057017</v>
      </c>
      <c r="BX43" s="49">
        <f t="shared" si="8"/>
        <v>-0.1890794223742952</v>
      </c>
      <c r="BY43" s="49">
        <f t="shared" si="8"/>
        <v>-198.18669664015627</v>
      </c>
      <c r="BZ43" s="49">
        <f t="shared" si="8"/>
        <v>1.5170090166777801E-2</v>
      </c>
      <c r="CA43" s="49">
        <f t="shared" si="8"/>
        <v>-42.707950918961203</v>
      </c>
      <c r="CB43" s="49">
        <f t="shared" si="8"/>
        <v>0.1587844497095289</v>
      </c>
      <c r="CC43" s="49">
        <f t="shared" si="8"/>
        <v>-12.429047685645042</v>
      </c>
      <c r="CD43" s="49">
        <f t="shared" si="8"/>
        <v>-2.709022076479789E-2</v>
      </c>
      <c r="CE43" s="49">
        <f t="shared" si="8"/>
        <v>-197.44232913951799</v>
      </c>
      <c r="CF43" s="49">
        <f t="shared" si="8"/>
        <v>-1.273295289937699</v>
      </c>
      <c r="CG43" s="49">
        <f t="shared" si="8"/>
        <v>-5.1097917610529505E-3</v>
      </c>
      <c r="CH43" s="49">
        <f t="shared" si="8"/>
        <v>7.7600611028787556E-2</v>
      </c>
      <c r="CI43" s="49">
        <f t="shared" si="8"/>
        <v>-20.468343794177873</v>
      </c>
      <c r="CJ43" s="49">
        <f t="shared" si="8"/>
        <v>-12.024212406359357</v>
      </c>
      <c r="CK43" s="49">
        <f t="shared" si="8"/>
        <v>0</v>
      </c>
      <c r="CL43" s="49" t="e">
        <f t="shared" si="8"/>
        <v>#DIV/0!</v>
      </c>
      <c r="CM43" s="49" t="e">
        <f t="shared" si="6"/>
        <v>#DIV/0!</v>
      </c>
      <c r="CN43" s="49" t="e">
        <f t="shared" si="6"/>
        <v>#DIV/0!</v>
      </c>
      <c r="CO43" s="49" t="e">
        <f t="shared" si="6"/>
        <v>#DIV/0!</v>
      </c>
      <c r="CP43" s="49" t="e">
        <f t="shared" si="6"/>
        <v>#DIV/0!</v>
      </c>
      <c r="CQ43" s="49" t="e">
        <f t="shared" si="6"/>
        <v>#DIV/0!</v>
      </c>
      <c r="CR43" s="49" t="e">
        <f t="shared" si="6"/>
        <v>#DIV/0!</v>
      </c>
      <c r="CS43" s="49" t="e">
        <f t="shared" si="6"/>
        <v>#DIV/0!</v>
      </c>
      <c r="CT43" s="49" t="e">
        <f t="shared" si="6"/>
        <v>#DIV/0!</v>
      </c>
      <c r="CU43" s="49" t="e">
        <f t="shared" si="6"/>
        <v>#DIV/0!</v>
      </c>
    </row>
    <row r="44" spans="1:99">
      <c r="A44" s="53">
        <f>IF( ISBLANK(beam_frmt_noFPM!A78), "", beam_frmt_noFPM!A78)</f>
        <v>21</v>
      </c>
      <c r="B44" s="54">
        <f>IF( ISBLANK(beam_frmt_noFPM!B78), "", beam_frmt_noFPM!B78)</f>
        <v>1.5824</v>
      </c>
      <c r="C44" s="54">
        <f>IF( ISBLANK(beam_frmt_noFPM!C78), "", beam_frmt_noFPM!C78)</f>
        <v>3.8199999999999998E-2</v>
      </c>
      <c r="D44" s="54">
        <f>IF( ISBLANK(beam_frmt_noFPM!D78), "", beam_frmt_noFPM!D78)</f>
        <v>0</v>
      </c>
      <c r="E44" s="54">
        <f>IF( ISBLANK(beam_frmt_noFPM!E78), "", beam_frmt_noFPM!E78)</f>
        <v>0.40678069322290245</v>
      </c>
      <c r="F44" s="54">
        <f>IF( ISBLANK(beam_frmt_noFPM!F78), "", beam_frmt_noFPM!F78)</f>
        <v>9.2245281200654689E-3</v>
      </c>
      <c r="G44" s="54">
        <f>IF( ISBLANK(beam_frmt_noFPM!G78), "", beam_frmt_noFPM!G78)</f>
        <v>-1.7968455014700114E-5</v>
      </c>
      <c r="H44" s="54">
        <f>IF( ISBLANK(beam_frmt_noFPM!H78), "", beam_frmt_noFPM!H78)</f>
        <v>2.3964474515413658E-6</v>
      </c>
      <c r="I44" s="54">
        <f>IF( ISBLANK(beam_frmt_noFPM!I78), "", beam_frmt_noFPM!I78)</f>
        <v>2.8345163599551113E-4</v>
      </c>
      <c r="J44" s="54">
        <f>IF( ISBLANK(beam_frmt_noFPM!J78), "", beam_frmt_noFPM!J78)</f>
        <v>1.726219331763621E-5</v>
      </c>
      <c r="K44" s="55">
        <f>IF( ISBLANK(beam_frmt_noFPM!K78), "", beam_frmt_noFPM!K78)</f>
        <v>5819773.7310114065</v>
      </c>
      <c r="L44" s="56">
        <f>IF( ISBLANK(beam_frmt_noFPM!L78), "", beam_frmt_noFPM!L78)</f>
        <v>3517.8773353804481</v>
      </c>
      <c r="M44" s="55">
        <f>IF( ISBLANK(beam_frmt_noFPM!M78), "", beam_frmt_noFPM!M78)</f>
        <v>43940.42996072783</v>
      </c>
      <c r="N44" s="56">
        <f>IF( ISBLANK(beam_frmt_noFPM!N78), "", beam_frmt_noFPM!N78)</f>
        <v>16.51322820663222</v>
      </c>
      <c r="O44" s="55">
        <f>IF( ISBLANK(beam_frmt_noFPM!O78), "", beam_frmt_noFPM!O78)</f>
        <v>1630.9280582655092</v>
      </c>
      <c r="P44" s="56">
        <f>IF( ISBLANK(beam_frmt_noFPM!P78), "", beam_frmt_noFPM!P78)</f>
        <v>110.28795650532237</v>
      </c>
      <c r="Q44" s="55">
        <f>IF( ISBLANK(beam_frmt_noFPM!Q78), "", beam_frmt_noFPM!Q78)</f>
        <v>12.532160569815417</v>
      </c>
      <c r="R44" s="234">
        <f>IF( ISBLANK(beam_frmt_noFPM!R78), "", beam_frmt_noFPM!R78)</f>
        <v>41355.356719405361</v>
      </c>
      <c r="S44" s="236">
        <f>IF( ISBLANK(beam_frmt_noFPM!S78), "", beam_frmt_noFPM!S78)</f>
        <v>36632.144725899387</v>
      </c>
      <c r="T44" s="55">
        <f>IF( ISBLANK(beam_frmt_noFPM!T78), "", beam_frmt_noFPM!T78)</f>
        <v>36.59265817727993</v>
      </c>
      <c r="U44" s="55">
        <f>IF( ISBLANK(beam_frmt_noFPM!U78), "", beam_frmt_noFPM!U78)</f>
        <v>67.669849726947177</v>
      </c>
      <c r="V44" s="206">
        <f>IF( ISBLANK(beam_frmt_noFPM!V78), "", beam_frmt_noFPM!V78)</f>
        <v>1.5824</v>
      </c>
      <c r="W44" s="124"/>
      <c r="X44" s="124"/>
      <c r="Y44" s="124"/>
      <c r="Z44" s="124"/>
      <c r="AA44" s="124"/>
      <c r="AB44" s="124"/>
      <c r="AC44" s="124"/>
      <c r="AD44" s="124"/>
      <c r="AE44" s="124"/>
      <c r="AF44" s="100"/>
      <c r="AI44" s="2">
        <v>21</v>
      </c>
      <c r="AJ44">
        <v>1.5824</v>
      </c>
      <c r="AK44">
        <v>3.8199999999999998E-2</v>
      </c>
      <c r="AL44">
        <v>0</v>
      </c>
      <c r="AM44" s="1">
        <v>0.40668379999999998</v>
      </c>
      <c r="AN44" s="1">
        <v>9.2029999999999994E-3</v>
      </c>
      <c r="AO44" s="1">
        <v>1.075E-3</v>
      </c>
      <c r="AP44" s="1">
        <v>2.5345419999999999E-6</v>
      </c>
      <c r="AQ44" s="1">
        <v>2.8398859999999998E-4</v>
      </c>
      <c r="AR44" s="1">
        <v>-1.7580989999999999E-5</v>
      </c>
      <c r="AS44" s="1">
        <v>5818891</v>
      </c>
      <c r="AT44" s="1">
        <v>6140.2539999999999</v>
      </c>
      <c r="AU44" s="1">
        <v>43870.77</v>
      </c>
      <c r="AV44" s="1">
        <v>18.85697</v>
      </c>
      <c r="AW44" s="1">
        <v>1631.37</v>
      </c>
      <c r="AX44" s="1">
        <v>-113.1828</v>
      </c>
      <c r="AY44" s="1">
        <v>12.69379</v>
      </c>
      <c r="AZ44" s="235">
        <v>41357.47</v>
      </c>
      <c r="BA44" s="237">
        <v>36603.74</v>
      </c>
      <c r="BB44" s="1">
        <v>46.010179999999998</v>
      </c>
      <c r="BC44" s="1">
        <v>76.918719999999993</v>
      </c>
      <c r="BD44" s="1">
        <v>1.5824</v>
      </c>
      <c r="BE44" s="1"/>
      <c r="BF44" s="1"/>
      <c r="BG44" s="1"/>
      <c r="BH44" s="1"/>
      <c r="BI44" s="1"/>
      <c r="BJ44" s="1"/>
      <c r="BK44" s="1"/>
      <c r="BL44" s="1"/>
      <c r="BM44" s="1"/>
      <c r="BN44" s="67"/>
      <c r="BQ44" s="49">
        <f t="shared" ref="BQ44:BQ61" si="9">B44 - AJ44</f>
        <v>0</v>
      </c>
      <c r="BR44" s="49">
        <f t="shared" ref="BR44:BR61" si="10">C44 - AK44</f>
        <v>0</v>
      </c>
      <c r="BS44" s="49">
        <f t="shared" ref="BS44:BS61" si="11">D44 - AL44</f>
        <v>0</v>
      </c>
      <c r="BT44" s="49">
        <f t="shared" ref="BT44:BT61" si="12" xml:space="preserve"> (E44 - AM44)/AM44 * 100</f>
        <v>2.3825198570108043E-2</v>
      </c>
      <c r="BU44" s="49">
        <f t="shared" ref="BU44:BU61" si="13" xml:space="preserve"> (F44 - AN44)</f>
        <v>2.1528120065469544E-5</v>
      </c>
      <c r="BV44" s="49">
        <f t="shared" ref="BV44:BV61" si="14" xml:space="preserve"> (G44 - AO44)</f>
        <v>-1.0929684550147001E-3</v>
      </c>
      <c r="BW44" s="49">
        <f t="shared" ref="BW44:BW61" si="15" xml:space="preserve"> (H44 - AP44)/AP44 * 100</f>
        <v>-5.4485010885057017</v>
      </c>
      <c r="BX44" s="49">
        <f t="shared" ref="BX44:BX61" si="16" xml:space="preserve"> (I44 - AQ44)/AQ44 * 100</f>
        <v>-0.1890794223742952</v>
      </c>
      <c r="BY44" s="49">
        <f t="shared" ref="BY44:BY61" si="17" xml:space="preserve"> (J44 - AR44)/AR44 * 100</f>
        <v>-198.18669664015627</v>
      </c>
      <c r="BZ44" s="49">
        <f t="shared" ref="BZ44:BZ61" si="18" xml:space="preserve"> (K44 - AS44)/AS44 * 100</f>
        <v>1.5170090166777801E-2</v>
      </c>
      <c r="CA44" s="49">
        <f t="shared" ref="CA44:CA61" si="19" xml:space="preserve"> (L44 - AT44)/AT44 * 100</f>
        <v>-42.707950918961203</v>
      </c>
      <c r="CB44" s="49">
        <f t="shared" ref="CB44:CB61" si="20" xml:space="preserve"> (M44 - AU44)/AU44 * 100</f>
        <v>0.1587844497095289</v>
      </c>
      <c r="CC44" s="49">
        <f t="shared" ref="CC44:CC61" si="21" xml:space="preserve"> (N44 - AV44)/AV44 * 100</f>
        <v>-12.429047685645042</v>
      </c>
      <c r="CD44" s="49">
        <f t="shared" ref="CD44:CD61" si="22" xml:space="preserve"> (O44 - AW44)/AW44 * 100</f>
        <v>-2.709022076479789E-2</v>
      </c>
      <c r="CE44" s="49">
        <f t="shared" ref="CE44:CE61" si="23" xml:space="preserve"> (P44 - AX44)/AX44 * 100</f>
        <v>-197.44232913951799</v>
      </c>
      <c r="CF44" s="49">
        <f t="shared" ref="CF44:CF61" si="24" xml:space="preserve"> (Q44 - AY44)/AY44 * 100</f>
        <v>-1.273295289937699</v>
      </c>
      <c r="CG44" s="49">
        <f t="shared" ref="CG44:CG61" si="25" xml:space="preserve"> (R44 - AZ44)/AZ44 * 100</f>
        <v>-5.1097917610529505E-3</v>
      </c>
      <c r="CH44" s="49">
        <f t="shared" ref="CH44:CH61" si="26" xml:space="preserve"> (S44 - BA44)/BA44 * 100</f>
        <v>7.7600611028787556E-2</v>
      </c>
      <c r="CI44" s="49">
        <f t="shared" ref="CI44:CI61" si="27" xml:space="preserve"> (T44 - BB44)/BB44 * 100</f>
        <v>-20.468343794177873</v>
      </c>
      <c r="CJ44" s="49">
        <f t="shared" ref="CJ44:CJ61" si="28" xml:space="preserve"> (U44 - BC44)/BC44 * 100</f>
        <v>-12.024212406359357</v>
      </c>
      <c r="CK44" s="49">
        <f t="shared" ref="CK44:CK61" si="29" xml:space="preserve"> (V44 - BD44)/BD44 * 100</f>
        <v>0</v>
      </c>
      <c r="CL44" s="49" t="e">
        <f t="shared" ref="CL44:CL61" si="30" xml:space="preserve"> (W44 - BE44)/BE44 * 100</f>
        <v>#DIV/0!</v>
      </c>
      <c r="CM44" s="49" t="e">
        <f t="shared" ref="CM44:CM61" si="31" xml:space="preserve"> (X44 - BF44)/BF44 * 100</f>
        <v>#DIV/0!</v>
      </c>
      <c r="CN44" s="49" t="e">
        <f t="shared" ref="CN44:CN61" si="32" xml:space="preserve"> (Y44 - BG44)/BG44 * 100</f>
        <v>#DIV/0!</v>
      </c>
      <c r="CO44" s="49" t="e">
        <f t="shared" ref="CO44:CO61" si="33" xml:space="preserve"> (Z44 - BH44)/BH44 * 100</f>
        <v>#DIV/0!</v>
      </c>
      <c r="CP44" s="49" t="e">
        <f t="shared" ref="CP44:CP61" si="34" xml:space="preserve"> (AA44 - BI44)/BI44 * 100</f>
        <v>#DIV/0!</v>
      </c>
      <c r="CQ44" s="49" t="e">
        <f t="shared" ref="CQ44:CQ61" si="35" xml:space="preserve"> (AB44 - BJ44)/BJ44 * 100</f>
        <v>#DIV/0!</v>
      </c>
      <c r="CR44" s="49" t="e">
        <f t="shared" ref="CR44:CR61" si="36" xml:space="preserve"> (AC44 - BK44)/BK44 * 100</f>
        <v>#DIV/0!</v>
      </c>
      <c r="CS44" s="49" t="e">
        <f t="shared" ref="CS44:CS61" si="37" xml:space="preserve"> (AD44 - BL44)/BL44 * 100</f>
        <v>#DIV/0!</v>
      </c>
      <c r="CT44" s="49" t="e">
        <f t="shared" ref="CT44:CT61" si="38" xml:space="preserve"> (AE44 - BM44)/BM44 * 100</f>
        <v>#DIV/0!</v>
      </c>
      <c r="CU44" s="49" t="e">
        <f t="shared" ref="CU44:CU61" si="39" xml:space="preserve"> (AF44 - BN44)/BN44 * 100</f>
        <v>#DIV/0!</v>
      </c>
    </row>
    <row r="45" spans="1:99">
      <c r="A45" s="53" t="str">
        <f>IF( ISBLANK(beam_frmt_noFPM!A79), "", beam_frmt_noFPM!A79)</f>
        <v/>
      </c>
      <c r="B45" s="54">
        <f>IF( ISBLANK(beam_frmt_noFPM!B79), "", beam_frmt_noFPM!B79)</f>
        <v>1.6002000000000001</v>
      </c>
      <c r="C45" s="54">
        <f>IF( ISBLANK(beam_frmt_noFPM!C79), "", beam_frmt_noFPM!C79)</f>
        <v>4.8539399999999996E-2</v>
      </c>
      <c r="D45" s="54">
        <f>IF( ISBLANK(beam_frmt_noFPM!D79), "", beam_frmt_noFPM!D79)</f>
        <v>0</v>
      </c>
      <c r="E45" s="54">
        <f>IF( ISBLANK(beam_frmt_noFPM!E79), "", beam_frmt_noFPM!E79)</f>
        <v>0.29509561215022628</v>
      </c>
      <c r="F45" s="54">
        <f>IF( ISBLANK(beam_frmt_noFPM!F79), "", beam_frmt_noFPM!F79)</f>
        <v>1.2043504478451058E-2</v>
      </c>
      <c r="G45" s="54">
        <f>IF( ISBLANK(beam_frmt_noFPM!G79), "", beam_frmt_noFPM!G79)</f>
        <v>-3.0400539062530059E-4</v>
      </c>
      <c r="H45" s="54">
        <f>IF( ISBLANK(beam_frmt_noFPM!H79), "", beam_frmt_noFPM!H79)</f>
        <v>1.4034779907340644E-6</v>
      </c>
      <c r="I45" s="54">
        <f>IF( ISBLANK(beam_frmt_noFPM!I79), "", beam_frmt_noFPM!I79)</f>
        <v>1.7344500204911391E-4</v>
      </c>
      <c r="J45" s="54">
        <f>IF( ISBLANK(beam_frmt_noFPM!J79), "", beam_frmt_noFPM!J79)</f>
        <v>1.0020235442823492E-5</v>
      </c>
      <c r="K45" s="55">
        <f>IF( ISBLANK(beam_frmt_noFPM!K79), "", beam_frmt_noFPM!K79)</f>
        <v>4239155.1993809007</v>
      </c>
      <c r="L45" s="56">
        <f>IF( ISBLANK(beam_frmt_noFPM!L79), "", beam_frmt_noFPM!L79)</f>
        <v>2153.4908412854975</v>
      </c>
      <c r="M45" s="55">
        <f>IF( ISBLANK(beam_frmt_noFPM!M79), "", beam_frmt_noFPM!M79)</f>
        <v>37255.391554239111</v>
      </c>
      <c r="N45" s="56">
        <f>IF( ISBLANK(beam_frmt_noFPM!N79), "", beam_frmt_noFPM!N79)</f>
        <v>8.974308125544713</v>
      </c>
      <c r="O45" s="55">
        <f>IF( ISBLANK(beam_frmt_noFPM!O79), "", beam_frmt_noFPM!O79)</f>
        <v>1070.3243797483506</v>
      </c>
      <c r="P45" s="56">
        <f>IF( ISBLANK(beam_frmt_noFPM!P79), "", beam_frmt_noFPM!P79)</f>
        <v>68.012002852374351</v>
      </c>
      <c r="Q45" s="55">
        <f>IF( ISBLANK(beam_frmt_noFPM!Q79), "", beam_frmt_noFPM!Q79)</f>
        <v>7.260631083037179</v>
      </c>
      <c r="R45" s="234">
        <f>IF( ISBLANK(beam_frmt_noFPM!R79), "", beam_frmt_noFPM!R79)</f>
        <v>35634.168298738055</v>
      </c>
      <c r="S45" s="236">
        <f>IF( ISBLANK(beam_frmt_noFPM!S79), "", beam_frmt_noFPM!S79)</f>
        <v>31567.074693985545</v>
      </c>
      <c r="T45" s="55">
        <f>IF( ISBLANK(beam_frmt_noFPM!T79), "", beam_frmt_noFPM!T79)</f>
        <v>23.199397778334987</v>
      </c>
      <c r="U45" s="55">
        <f>IF( ISBLANK(beam_frmt_noFPM!U79), "", beam_frmt_noFPM!U79)</f>
        <v>270.83207144966758</v>
      </c>
      <c r="V45" s="206">
        <f>IF( ISBLANK(beam_frmt_noFPM!V79), "", beam_frmt_noFPM!V79)</f>
        <v>1.6002000000000001</v>
      </c>
      <c r="W45" s="124"/>
      <c r="X45" s="124"/>
      <c r="Y45" s="124"/>
      <c r="Z45" s="124"/>
      <c r="AA45" s="124"/>
      <c r="AB45" s="124"/>
      <c r="AC45" s="124"/>
      <c r="AD45" s="124"/>
      <c r="AE45" s="124"/>
      <c r="AF45" s="100"/>
      <c r="AI45" s="2"/>
      <c r="AJ45">
        <v>1.6002000000000001</v>
      </c>
      <c r="AK45">
        <v>4.8500000000000001E-2</v>
      </c>
      <c r="AL45">
        <v>0</v>
      </c>
      <c r="AM45" s="1">
        <v>0.29509560000000001</v>
      </c>
      <c r="AN45">
        <v>1.3975E-2</v>
      </c>
      <c r="AO45" s="1">
        <v>1.2800000000000001E-3</v>
      </c>
      <c r="AP45" s="1">
        <v>1.692788E-6</v>
      </c>
      <c r="AQ45" s="1">
        <v>1.884446E-4</v>
      </c>
      <c r="AR45" s="1">
        <v>-1.262599E-5</v>
      </c>
      <c r="AS45" s="1">
        <v>4239155</v>
      </c>
      <c r="AT45" s="1">
        <v>4915.9250000000002</v>
      </c>
      <c r="AU45" s="1">
        <v>45466.84</v>
      </c>
      <c r="AV45" s="1">
        <v>12.58244</v>
      </c>
      <c r="AW45" s="1">
        <v>1231.56</v>
      </c>
      <c r="AX45" s="1">
        <v>-93.645399999999995</v>
      </c>
      <c r="AY45" s="1">
        <v>11.86185</v>
      </c>
      <c r="AZ45" s="235">
        <v>35649.440000000002</v>
      </c>
      <c r="BA45" s="237">
        <v>31551.8</v>
      </c>
      <c r="BB45" s="1">
        <v>55.325020000000002</v>
      </c>
      <c r="BC45" s="1">
        <v>430.67450000000002</v>
      </c>
      <c r="BD45" s="1">
        <v>1.6002000000000001</v>
      </c>
      <c r="BE45" s="1"/>
      <c r="BF45" s="1"/>
      <c r="BG45" s="1"/>
      <c r="BH45" s="1"/>
      <c r="BI45" s="1"/>
      <c r="BJ45" s="1"/>
      <c r="BK45" s="1"/>
      <c r="BL45" s="1"/>
      <c r="BM45" s="1"/>
      <c r="BN45" s="67"/>
      <c r="BQ45" s="49">
        <f t="shared" si="9"/>
        <v>0</v>
      </c>
      <c r="BR45" s="49">
        <f t="shared" si="10"/>
        <v>3.9399999999994995E-5</v>
      </c>
      <c r="BS45" s="49">
        <f t="shared" si="11"/>
        <v>0</v>
      </c>
      <c r="BT45" s="49">
        <f t="shared" si="12"/>
        <v>4.1173864569811282E-6</v>
      </c>
      <c r="BU45" s="49">
        <f t="shared" si="13"/>
        <v>-1.9314955215489413E-3</v>
      </c>
      <c r="BV45" s="49">
        <f t="shared" si="14"/>
        <v>-1.5840053906253006E-3</v>
      </c>
      <c r="BW45" s="49">
        <f t="shared" si="15"/>
        <v>-17.090740793645491</v>
      </c>
      <c r="BX45" s="49">
        <f t="shared" si="16"/>
        <v>-7.9596857383475532</v>
      </c>
      <c r="BY45" s="49">
        <f t="shared" si="17"/>
        <v>-179.36197829099734</v>
      </c>
      <c r="BZ45" s="49">
        <f t="shared" si="18"/>
        <v>4.7033170693409692E-6</v>
      </c>
      <c r="CA45" s="49">
        <f t="shared" si="19"/>
        <v>-56.193578191581494</v>
      </c>
      <c r="CB45" s="49">
        <f t="shared" si="20"/>
        <v>-18.06030163028899</v>
      </c>
      <c r="CC45" s="49">
        <f t="shared" si="21"/>
        <v>-28.67593149226451</v>
      </c>
      <c r="CD45" s="49">
        <f t="shared" si="22"/>
        <v>-13.091982546660283</v>
      </c>
      <c r="CE45" s="49">
        <f t="shared" si="23"/>
        <v>-172.62716892914585</v>
      </c>
      <c r="CF45" s="49">
        <f t="shared" si="24"/>
        <v>-38.790061558381041</v>
      </c>
      <c r="CG45" s="49">
        <f t="shared" si="25"/>
        <v>-4.2838544622150788E-2</v>
      </c>
      <c r="CH45" s="49">
        <f t="shared" si="26"/>
        <v>4.8411482024943227E-2</v>
      </c>
      <c r="CI45" s="49">
        <f t="shared" si="27"/>
        <v>-58.067077466334418</v>
      </c>
      <c r="CJ45" s="49">
        <f t="shared" si="28"/>
        <v>-37.114439919320148</v>
      </c>
      <c r="CK45" s="49">
        <f t="shared" si="29"/>
        <v>0</v>
      </c>
      <c r="CL45" s="49" t="e">
        <f t="shared" si="30"/>
        <v>#DIV/0!</v>
      </c>
      <c r="CM45" s="49" t="e">
        <f t="shared" si="31"/>
        <v>#DIV/0!</v>
      </c>
      <c r="CN45" s="49" t="e">
        <f t="shared" si="32"/>
        <v>#DIV/0!</v>
      </c>
      <c r="CO45" s="49" t="e">
        <f t="shared" si="33"/>
        <v>#DIV/0!</v>
      </c>
      <c r="CP45" s="49" t="e">
        <f t="shared" si="34"/>
        <v>#DIV/0!</v>
      </c>
      <c r="CQ45" s="49" t="e">
        <f t="shared" si="35"/>
        <v>#DIV/0!</v>
      </c>
      <c r="CR45" s="49" t="e">
        <f t="shared" si="36"/>
        <v>#DIV/0!</v>
      </c>
      <c r="CS45" s="49" t="e">
        <f t="shared" si="37"/>
        <v>#DIV/0!</v>
      </c>
      <c r="CT45" s="49" t="e">
        <f t="shared" si="38"/>
        <v>#DIV/0!</v>
      </c>
      <c r="CU45" s="49" t="e">
        <f t="shared" si="39"/>
        <v>#DIV/0!</v>
      </c>
    </row>
    <row r="46" spans="1:99">
      <c r="A46" s="53"/>
      <c r="B46" s="54"/>
      <c r="C46" s="54"/>
      <c r="D46" s="54"/>
      <c r="E46" s="54"/>
      <c r="F46" s="54"/>
      <c r="G46" s="54"/>
      <c r="H46" s="54"/>
      <c r="I46" s="54"/>
      <c r="J46" s="54"/>
      <c r="K46" s="55"/>
      <c r="L46" s="56"/>
      <c r="M46" s="55"/>
      <c r="N46" s="56"/>
      <c r="O46" s="55"/>
      <c r="P46" s="56"/>
      <c r="Q46" s="55"/>
      <c r="R46" s="56"/>
      <c r="S46" s="55"/>
      <c r="T46" s="55"/>
      <c r="U46" s="124"/>
      <c r="V46" s="124"/>
      <c r="W46" s="124"/>
      <c r="X46" s="124"/>
      <c r="Y46" s="124"/>
      <c r="Z46" s="124"/>
      <c r="AA46" s="124"/>
      <c r="AB46" s="124"/>
      <c r="AC46" s="124"/>
      <c r="AD46" s="124"/>
      <c r="AE46" s="124"/>
      <c r="AF46" s="100"/>
      <c r="AI46" s="2"/>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67"/>
      <c r="BQ46" s="49">
        <f t="shared" si="9"/>
        <v>0</v>
      </c>
      <c r="BR46" s="49">
        <f t="shared" si="10"/>
        <v>0</v>
      </c>
      <c r="BS46" s="49">
        <f t="shared" si="11"/>
        <v>0</v>
      </c>
      <c r="BT46" s="49" t="e">
        <f t="shared" si="12"/>
        <v>#DIV/0!</v>
      </c>
      <c r="BU46" s="49">
        <f t="shared" si="13"/>
        <v>0</v>
      </c>
      <c r="BV46" s="49">
        <f t="shared" si="14"/>
        <v>0</v>
      </c>
      <c r="BW46" s="49" t="e">
        <f t="shared" si="15"/>
        <v>#DIV/0!</v>
      </c>
      <c r="BX46" s="49" t="e">
        <f t="shared" si="16"/>
        <v>#DIV/0!</v>
      </c>
      <c r="BY46" s="49" t="e">
        <f t="shared" si="17"/>
        <v>#DIV/0!</v>
      </c>
      <c r="BZ46" s="49" t="e">
        <f t="shared" si="18"/>
        <v>#DIV/0!</v>
      </c>
      <c r="CA46" s="49" t="e">
        <f t="shared" si="19"/>
        <v>#DIV/0!</v>
      </c>
      <c r="CB46" s="49" t="e">
        <f t="shared" si="20"/>
        <v>#DIV/0!</v>
      </c>
      <c r="CC46" s="49" t="e">
        <f t="shared" si="21"/>
        <v>#DIV/0!</v>
      </c>
      <c r="CD46" s="49" t="e">
        <f t="shared" si="22"/>
        <v>#DIV/0!</v>
      </c>
      <c r="CE46" s="49" t="e">
        <f t="shared" si="23"/>
        <v>#DIV/0!</v>
      </c>
      <c r="CF46" s="49" t="e">
        <f t="shared" si="24"/>
        <v>#DIV/0!</v>
      </c>
      <c r="CG46" s="49" t="e">
        <f t="shared" si="25"/>
        <v>#DIV/0!</v>
      </c>
      <c r="CH46" s="49" t="e">
        <f t="shared" si="26"/>
        <v>#DIV/0!</v>
      </c>
      <c r="CI46" s="49" t="e">
        <f t="shared" si="27"/>
        <v>#DIV/0!</v>
      </c>
      <c r="CJ46" s="49" t="e">
        <f t="shared" si="28"/>
        <v>#DIV/0!</v>
      </c>
      <c r="CK46" s="49" t="e">
        <f t="shared" si="29"/>
        <v>#DIV/0!</v>
      </c>
      <c r="CL46" s="49" t="e">
        <f t="shared" si="30"/>
        <v>#DIV/0!</v>
      </c>
      <c r="CM46" s="49" t="e">
        <f t="shared" si="31"/>
        <v>#DIV/0!</v>
      </c>
      <c r="CN46" s="49" t="e">
        <f t="shared" si="32"/>
        <v>#DIV/0!</v>
      </c>
      <c r="CO46" s="49" t="e">
        <f t="shared" si="33"/>
        <v>#DIV/0!</v>
      </c>
      <c r="CP46" s="49" t="e">
        <f t="shared" si="34"/>
        <v>#DIV/0!</v>
      </c>
      <c r="CQ46" s="49" t="e">
        <f t="shared" si="35"/>
        <v>#DIV/0!</v>
      </c>
      <c r="CR46" s="49" t="e">
        <f t="shared" si="36"/>
        <v>#DIV/0!</v>
      </c>
      <c r="CS46" s="49" t="e">
        <f t="shared" si="37"/>
        <v>#DIV/0!</v>
      </c>
      <c r="CT46" s="49" t="e">
        <f t="shared" si="38"/>
        <v>#DIV/0!</v>
      </c>
      <c r="CU46" s="49" t="e">
        <f t="shared" si="39"/>
        <v>#DIV/0!</v>
      </c>
    </row>
    <row r="47" spans="1:99">
      <c r="A47" s="53"/>
      <c r="B47" s="54"/>
      <c r="C47" s="54"/>
      <c r="D47" s="54"/>
      <c r="E47" s="54"/>
      <c r="F47" s="54"/>
      <c r="G47" s="54"/>
      <c r="H47" s="54"/>
      <c r="I47" s="54"/>
      <c r="J47" s="54"/>
      <c r="K47" s="55"/>
      <c r="L47" s="56"/>
      <c r="M47" s="55"/>
      <c r="N47" s="56"/>
      <c r="O47" s="55"/>
      <c r="P47" s="56"/>
      <c r="Q47" s="55"/>
      <c r="R47" s="56"/>
      <c r="S47" s="55"/>
      <c r="T47" s="55"/>
      <c r="U47" s="124"/>
      <c r="V47" s="124"/>
      <c r="W47" s="124"/>
      <c r="X47" s="124"/>
      <c r="Y47" s="124"/>
      <c r="Z47" s="124"/>
      <c r="AA47" s="124"/>
      <c r="AB47" s="124"/>
      <c r="AC47" s="124"/>
      <c r="AD47" s="124"/>
      <c r="AE47" s="124"/>
      <c r="AF47" s="100"/>
      <c r="AI47" s="2"/>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67"/>
      <c r="BQ47" s="49">
        <f t="shared" si="9"/>
        <v>0</v>
      </c>
      <c r="BR47" s="49">
        <f t="shared" si="10"/>
        <v>0</v>
      </c>
      <c r="BS47" s="49">
        <f t="shared" si="11"/>
        <v>0</v>
      </c>
      <c r="BT47" s="49" t="e">
        <f t="shared" si="12"/>
        <v>#DIV/0!</v>
      </c>
      <c r="BU47" s="49">
        <f t="shared" si="13"/>
        <v>0</v>
      </c>
      <c r="BV47" s="49">
        <f t="shared" si="14"/>
        <v>0</v>
      </c>
      <c r="BW47" s="49" t="e">
        <f t="shared" si="15"/>
        <v>#DIV/0!</v>
      </c>
      <c r="BX47" s="49" t="e">
        <f t="shared" si="16"/>
        <v>#DIV/0!</v>
      </c>
      <c r="BY47" s="49" t="e">
        <f t="shared" si="17"/>
        <v>#DIV/0!</v>
      </c>
      <c r="BZ47" s="49" t="e">
        <f t="shared" si="18"/>
        <v>#DIV/0!</v>
      </c>
      <c r="CA47" s="49" t="e">
        <f t="shared" si="19"/>
        <v>#DIV/0!</v>
      </c>
      <c r="CB47" s="49" t="e">
        <f t="shared" si="20"/>
        <v>#DIV/0!</v>
      </c>
      <c r="CC47" s="49" t="e">
        <f t="shared" si="21"/>
        <v>#DIV/0!</v>
      </c>
      <c r="CD47" s="49" t="e">
        <f t="shared" si="22"/>
        <v>#DIV/0!</v>
      </c>
      <c r="CE47" s="49" t="e">
        <f t="shared" si="23"/>
        <v>#DIV/0!</v>
      </c>
      <c r="CF47" s="49" t="e">
        <f t="shared" si="24"/>
        <v>#DIV/0!</v>
      </c>
      <c r="CG47" s="49" t="e">
        <f t="shared" si="25"/>
        <v>#DIV/0!</v>
      </c>
      <c r="CH47" s="49" t="e">
        <f t="shared" si="26"/>
        <v>#DIV/0!</v>
      </c>
      <c r="CI47" s="49" t="e">
        <f t="shared" si="27"/>
        <v>#DIV/0!</v>
      </c>
      <c r="CJ47" s="49" t="e">
        <f t="shared" si="28"/>
        <v>#DIV/0!</v>
      </c>
      <c r="CK47" s="49" t="e">
        <f t="shared" si="29"/>
        <v>#DIV/0!</v>
      </c>
      <c r="CL47" s="49" t="e">
        <f t="shared" si="30"/>
        <v>#DIV/0!</v>
      </c>
      <c r="CM47" s="49" t="e">
        <f t="shared" si="31"/>
        <v>#DIV/0!</v>
      </c>
      <c r="CN47" s="49" t="e">
        <f t="shared" si="32"/>
        <v>#DIV/0!</v>
      </c>
      <c r="CO47" s="49" t="e">
        <f t="shared" si="33"/>
        <v>#DIV/0!</v>
      </c>
      <c r="CP47" s="49" t="e">
        <f t="shared" si="34"/>
        <v>#DIV/0!</v>
      </c>
      <c r="CQ47" s="49" t="e">
        <f t="shared" si="35"/>
        <v>#DIV/0!</v>
      </c>
      <c r="CR47" s="49" t="e">
        <f t="shared" si="36"/>
        <v>#DIV/0!</v>
      </c>
      <c r="CS47" s="49" t="e">
        <f t="shared" si="37"/>
        <v>#DIV/0!</v>
      </c>
      <c r="CT47" s="49" t="e">
        <f t="shared" si="38"/>
        <v>#DIV/0!</v>
      </c>
      <c r="CU47" s="49" t="e">
        <f t="shared" si="39"/>
        <v>#DIV/0!</v>
      </c>
    </row>
    <row r="48" spans="1:99">
      <c r="A48" s="99"/>
      <c r="B48" s="123"/>
      <c r="C48" s="123"/>
      <c r="D48" s="123"/>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c r="AF48" s="100"/>
      <c r="AI48" s="2"/>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67"/>
      <c r="BQ48" s="49">
        <f t="shared" si="9"/>
        <v>0</v>
      </c>
      <c r="BR48" s="49">
        <f t="shared" si="10"/>
        <v>0</v>
      </c>
      <c r="BS48" s="49">
        <f t="shared" si="11"/>
        <v>0</v>
      </c>
      <c r="BT48" s="49" t="e">
        <f t="shared" si="12"/>
        <v>#DIV/0!</v>
      </c>
      <c r="BU48" s="49">
        <f t="shared" si="13"/>
        <v>0</v>
      </c>
      <c r="BV48" s="49">
        <f t="shared" si="14"/>
        <v>0</v>
      </c>
      <c r="BW48" s="49" t="e">
        <f t="shared" si="15"/>
        <v>#DIV/0!</v>
      </c>
      <c r="BX48" s="49" t="e">
        <f t="shared" si="16"/>
        <v>#DIV/0!</v>
      </c>
      <c r="BY48" s="49" t="e">
        <f t="shared" si="17"/>
        <v>#DIV/0!</v>
      </c>
      <c r="BZ48" s="49" t="e">
        <f t="shared" si="18"/>
        <v>#DIV/0!</v>
      </c>
      <c r="CA48" s="49" t="e">
        <f t="shared" si="19"/>
        <v>#DIV/0!</v>
      </c>
      <c r="CB48" s="49" t="e">
        <f t="shared" si="20"/>
        <v>#DIV/0!</v>
      </c>
      <c r="CC48" s="49" t="e">
        <f t="shared" si="21"/>
        <v>#DIV/0!</v>
      </c>
      <c r="CD48" s="49" t="e">
        <f t="shared" si="22"/>
        <v>#DIV/0!</v>
      </c>
      <c r="CE48" s="49" t="e">
        <f t="shared" si="23"/>
        <v>#DIV/0!</v>
      </c>
      <c r="CF48" s="49" t="e">
        <f t="shared" si="24"/>
        <v>#DIV/0!</v>
      </c>
      <c r="CG48" s="49" t="e">
        <f t="shared" si="25"/>
        <v>#DIV/0!</v>
      </c>
      <c r="CH48" s="49" t="e">
        <f t="shared" si="26"/>
        <v>#DIV/0!</v>
      </c>
      <c r="CI48" s="49" t="e">
        <f t="shared" si="27"/>
        <v>#DIV/0!</v>
      </c>
      <c r="CJ48" s="49" t="e">
        <f t="shared" si="28"/>
        <v>#DIV/0!</v>
      </c>
      <c r="CK48" s="49" t="e">
        <f t="shared" si="29"/>
        <v>#DIV/0!</v>
      </c>
      <c r="CL48" s="49" t="e">
        <f t="shared" si="30"/>
        <v>#DIV/0!</v>
      </c>
      <c r="CM48" s="49" t="e">
        <f t="shared" si="31"/>
        <v>#DIV/0!</v>
      </c>
      <c r="CN48" s="49" t="e">
        <f t="shared" si="32"/>
        <v>#DIV/0!</v>
      </c>
      <c r="CO48" s="49" t="e">
        <f t="shared" si="33"/>
        <v>#DIV/0!</v>
      </c>
      <c r="CP48" s="49" t="e">
        <f t="shared" si="34"/>
        <v>#DIV/0!</v>
      </c>
      <c r="CQ48" s="49" t="e">
        <f t="shared" si="35"/>
        <v>#DIV/0!</v>
      </c>
      <c r="CR48" s="49" t="e">
        <f t="shared" si="36"/>
        <v>#DIV/0!</v>
      </c>
      <c r="CS48" s="49" t="e">
        <f t="shared" si="37"/>
        <v>#DIV/0!</v>
      </c>
      <c r="CT48" s="49" t="e">
        <f t="shared" si="38"/>
        <v>#DIV/0!</v>
      </c>
      <c r="CU48" s="49" t="e">
        <f t="shared" si="39"/>
        <v>#DIV/0!</v>
      </c>
    </row>
    <row r="49" spans="1:99">
      <c r="A49" s="99"/>
      <c r="B49" s="123"/>
      <c r="C49" s="123"/>
      <c r="D49" s="123"/>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c r="AF49" s="100"/>
      <c r="AI49" s="2"/>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67"/>
      <c r="BQ49" s="49">
        <f t="shared" si="9"/>
        <v>0</v>
      </c>
      <c r="BR49" s="49">
        <f t="shared" si="10"/>
        <v>0</v>
      </c>
      <c r="BS49" s="49">
        <f t="shared" si="11"/>
        <v>0</v>
      </c>
      <c r="BT49" s="49" t="e">
        <f t="shared" si="12"/>
        <v>#DIV/0!</v>
      </c>
      <c r="BU49" s="49">
        <f t="shared" si="13"/>
        <v>0</v>
      </c>
      <c r="BV49" s="49">
        <f t="shared" si="14"/>
        <v>0</v>
      </c>
      <c r="BW49" s="49" t="e">
        <f t="shared" si="15"/>
        <v>#DIV/0!</v>
      </c>
      <c r="BX49" s="49" t="e">
        <f t="shared" si="16"/>
        <v>#DIV/0!</v>
      </c>
      <c r="BY49" s="49" t="e">
        <f t="shared" si="17"/>
        <v>#DIV/0!</v>
      </c>
      <c r="BZ49" s="49" t="e">
        <f t="shared" si="18"/>
        <v>#DIV/0!</v>
      </c>
      <c r="CA49" s="49" t="e">
        <f t="shared" si="19"/>
        <v>#DIV/0!</v>
      </c>
      <c r="CB49" s="49" t="e">
        <f t="shared" si="20"/>
        <v>#DIV/0!</v>
      </c>
      <c r="CC49" s="49" t="e">
        <f t="shared" si="21"/>
        <v>#DIV/0!</v>
      </c>
      <c r="CD49" s="49" t="e">
        <f t="shared" si="22"/>
        <v>#DIV/0!</v>
      </c>
      <c r="CE49" s="49" t="e">
        <f t="shared" si="23"/>
        <v>#DIV/0!</v>
      </c>
      <c r="CF49" s="49" t="e">
        <f t="shared" si="24"/>
        <v>#DIV/0!</v>
      </c>
      <c r="CG49" s="49" t="e">
        <f t="shared" si="25"/>
        <v>#DIV/0!</v>
      </c>
      <c r="CH49" s="49" t="e">
        <f t="shared" si="26"/>
        <v>#DIV/0!</v>
      </c>
      <c r="CI49" s="49" t="e">
        <f t="shared" si="27"/>
        <v>#DIV/0!</v>
      </c>
      <c r="CJ49" s="49" t="e">
        <f t="shared" si="28"/>
        <v>#DIV/0!</v>
      </c>
      <c r="CK49" s="49" t="e">
        <f t="shared" si="29"/>
        <v>#DIV/0!</v>
      </c>
      <c r="CL49" s="49" t="e">
        <f t="shared" si="30"/>
        <v>#DIV/0!</v>
      </c>
      <c r="CM49" s="49" t="e">
        <f t="shared" si="31"/>
        <v>#DIV/0!</v>
      </c>
      <c r="CN49" s="49" t="e">
        <f t="shared" si="32"/>
        <v>#DIV/0!</v>
      </c>
      <c r="CO49" s="49" t="e">
        <f t="shared" si="33"/>
        <v>#DIV/0!</v>
      </c>
      <c r="CP49" s="49" t="e">
        <f t="shared" si="34"/>
        <v>#DIV/0!</v>
      </c>
      <c r="CQ49" s="49" t="e">
        <f t="shared" si="35"/>
        <v>#DIV/0!</v>
      </c>
      <c r="CR49" s="49" t="e">
        <f t="shared" si="36"/>
        <v>#DIV/0!</v>
      </c>
      <c r="CS49" s="49" t="e">
        <f t="shared" si="37"/>
        <v>#DIV/0!</v>
      </c>
      <c r="CT49" s="49" t="e">
        <f t="shared" si="38"/>
        <v>#DIV/0!</v>
      </c>
      <c r="CU49" s="49" t="e">
        <f t="shared" si="39"/>
        <v>#DIV/0!</v>
      </c>
    </row>
    <row r="50" spans="1:99">
      <c r="A50" s="99"/>
      <c r="B50" s="123"/>
      <c r="C50" s="123"/>
      <c r="D50" s="123"/>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00"/>
      <c r="AI50" s="2"/>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67"/>
      <c r="BQ50" s="49">
        <f t="shared" si="9"/>
        <v>0</v>
      </c>
      <c r="BR50" s="49">
        <f t="shared" si="10"/>
        <v>0</v>
      </c>
      <c r="BS50" s="49">
        <f t="shared" si="11"/>
        <v>0</v>
      </c>
      <c r="BT50" s="49" t="e">
        <f t="shared" si="12"/>
        <v>#DIV/0!</v>
      </c>
      <c r="BU50" s="49">
        <f t="shared" si="13"/>
        <v>0</v>
      </c>
      <c r="BV50" s="49">
        <f t="shared" si="14"/>
        <v>0</v>
      </c>
      <c r="BW50" s="49" t="e">
        <f t="shared" si="15"/>
        <v>#DIV/0!</v>
      </c>
      <c r="BX50" s="49" t="e">
        <f t="shared" si="16"/>
        <v>#DIV/0!</v>
      </c>
      <c r="BY50" s="49" t="e">
        <f t="shared" si="17"/>
        <v>#DIV/0!</v>
      </c>
      <c r="BZ50" s="49" t="e">
        <f t="shared" si="18"/>
        <v>#DIV/0!</v>
      </c>
      <c r="CA50" s="49" t="e">
        <f t="shared" si="19"/>
        <v>#DIV/0!</v>
      </c>
      <c r="CB50" s="49" t="e">
        <f t="shared" si="20"/>
        <v>#DIV/0!</v>
      </c>
      <c r="CC50" s="49" t="e">
        <f t="shared" si="21"/>
        <v>#DIV/0!</v>
      </c>
      <c r="CD50" s="49" t="e">
        <f t="shared" si="22"/>
        <v>#DIV/0!</v>
      </c>
      <c r="CE50" s="49" t="e">
        <f t="shared" si="23"/>
        <v>#DIV/0!</v>
      </c>
      <c r="CF50" s="49" t="e">
        <f t="shared" si="24"/>
        <v>#DIV/0!</v>
      </c>
      <c r="CG50" s="49" t="e">
        <f t="shared" si="25"/>
        <v>#DIV/0!</v>
      </c>
      <c r="CH50" s="49" t="e">
        <f t="shared" si="26"/>
        <v>#DIV/0!</v>
      </c>
      <c r="CI50" s="49" t="e">
        <f t="shared" si="27"/>
        <v>#DIV/0!</v>
      </c>
      <c r="CJ50" s="49" t="e">
        <f t="shared" si="28"/>
        <v>#DIV/0!</v>
      </c>
      <c r="CK50" s="49" t="e">
        <f t="shared" si="29"/>
        <v>#DIV/0!</v>
      </c>
      <c r="CL50" s="49" t="e">
        <f t="shared" si="30"/>
        <v>#DIV/0!</v>
      </c>
      <c r="CM50" s="49" t="e">
        <f t="shared" si="31"/>
        <v>#DIV/0!</v>
      </c>
      <c r="CN50" s="49" t="e">
        <f t="shared" si="32"/>
        <v>#DIV/0!</v>
      </c>
      <c r="CO50" s="49" t="e">
        <f t="shared" si="33"/>
        <v>#DIV/0!</v>
      </c>
      <c r="CP50" s="49" t="e">
        <f t="shared" si="34"/>
        <v>#DIV/0!</v>
      </c>
      <c r="CQ50" s="49" t="e">
        <f t="shared" si="35"/>
        <v>#DIV/0!</v>
      </c>
      <c r="CR50" s="49" t="e">
        <f t="shared" si="36"/>
        <v>#DIV/0!</v>
      </c>
      <c r="CS50" s="49" t="e">
        <f t="shared" si="37"/>
        <v>#DIV/0!</v>
      </c>
      <c r="CT50" s="49" t="e">
        <f t="shared" si="38"/>
        <v>#DIV/0!</v>
      </c>
      <c r="CU50" s="49" t="e">
        <f t="shared" si="39"/>
        <v>#DIV/0!</v>
      </c>
    </row>
    <row r="51" spans="1:99">
      <c r="A51" s="99"/>
      <c r="B51" s="123"/>
      <c r="C51" s="123"/>
      <c r="D51" s="123"/>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c r="AF51" s="100"/>
      <c r="AI51" s="2"/>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67"/>
      <c r="BQ51" s="49">
        <f t="shared" si="9"/>
        <v>0</v>
      </c>
      <c r="BR51" s="49">
        <f t="shared" si="10"/>
        <v>0</v>
      </c>
      <c r="BS51" s="49">
        <f t="shared" si="11"/>
        <v>0</v>
      </c>
      <c r="BT51" s="49" t="e">
        <f t="shared" si="12"/>
        <v>#DIV/0!</v>
      </c>
      <c r="BU51" s="49">
        <f t="shared" si="13"/>
        <v>0</v>
      </c>
      <c r="BV51" s="49">
        <f t="shared" si="14"/>
        <v>0</v>
      </c>
      <c r="BW51" s="49" t="e">
        <f t="shared" si="15"/>
        <v>#DIV/0!</v>
      </c>
      <c r="BX51" s="49" t="e">
        <f t="shared" si="16"/>
        <v>#DIV/0!</v>
      </c>
      <c r="BY51" s="49" t="e">
        <f t="shared" si="17"/>
        <v>#DIV/0!</v>
      </c>
      <c r="BZ51" s="49" t="e">
        <f t="shared" si="18"/>
        <v>#DIV/0!</v>
      </c>
      <c r="CA51" s="49" t="e">
        <f t="shared" si="19"/>
        <v>#DIV/0!</v>
      </c>
      <c r="CB51" s="49" t="e">
        <f t="shared" si="20"/>
        <v>#DIV/0!</v>
      </c>
      <c r="CC51" s="49" t="e">
        <f t="shared" si="21"/>
        <v>#DIV/0!</v>
      </c>
      <c r="CD51" s="49" t="e">
        <f t="shared" si="22"/>
        <v>#DIV/0!</v>
      </c>
      <c r="CE51" s="49" t="e">
        <f t="shared" si="23"/>
        <v>#DIV/0!</v>
      </c>
      <c r="CF51" s="49" t="e">
        <f t="shared" si="24"/>
        <v>#DIV/0!</v>
      </c>
      <c r="CG51" s="49" t="e">
        <f t="shared" si="25"/>
        <v>#DIV/0!</v>
      </c>
      <c r="CH51" s="49" t="e">
        <f t="shared" si="26"/>
        <v>#DIV/0!</v>
      </c>
      <c r="CI51" s="49" t="e">
        <f t="shared" si="27"/>
        <v>#DIV/0!</v>
      </c>
      <c r="CJ51" s="49" t="e">
        <f t="shared" si="28"/>
        <v>#DIV/0!</v>
      </c>
      <c r="CK51" s="49" t="e">
        <f t="shared" si="29"/>
        <v>#DIV/0!</v>
      </c>
      <c r="CL51" s="49" t="e">
        <f t="shared" si="30"/>
        <v>#DIV/0!</v>
      </c>
      <c r="CM51" s="49" t="e">
        <f t="shared" si="31"/>
        <v>#DIV/0!</v>
      </c>
      <c r="CN51" s="49" t="e">
        <f t="shared" si="32"/>
        <v>#DIV/0!</v>
      </c>
      <c r="CO51" s="49" t="e">
        <f t="shared" si="33"/>
        <v>#DIV/0!</v>
      </c>
      <c r="CP51" s="49" t="e">
        <f t="shared" si="34"/>
        <v>#DIV/0!</v>
      </c>
      <c r="CQ51" s="49" t="e">
        <f t="shared" si="35"/>
        <v>#DIV/0!</v>
      </c>
      <c r="CR51" s="49" t="e">
        <f t="shared" si="36"/>
        <v>#DIV/0!</v>
      </c>
      <c r="CS51" s="49" t="e">
        <f t="shared" si="37"/>
        <v>#DIV/0!</v>
      </c>
      <c r="CT51" s="49" t="e">
        <f t="shared" si="38"/>
        <v>#DIV/0!</v>
      </c>
      <c r="CU51" s="49" t="e">
        <f t="shared" si="39"/>
        <v>#DIV/0!</v>
      </c>
    </row>
    <row r="52" spans="1:99">
      <c r="A52" s="99"/>
      <c r="B52" s="123"/>
      <c r="C52" s="123"/>
      <c r="D52" s="123"/>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c r="AF52" s="100"/>
      <c r="AI52" s="2"/>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67"/>
      <c r="BQ52" s="49">
        <f t="shared" si="9"/>
        <v>0</v>
      </c>
      <c r="BR52" s="49">
        <f t="shared" si="10"/>
        <v>0</v>
      </c>
      <c r="BS52" s="49">
        <f t="shared" si="11"/>
        <v>0</v>
      </c>
      <c r="BT52" s="49" t="e">
        <f t="shared" si="12"/>
        <v>#DIV/0!</v>
      </c>
      <c r="BU52" s="49">
        <f t="shared" si="13"/>
        <v>0</v>
      </c>
      <c r="BV52" s="49">
        <f t="shared" si="14"/>
        <v>0</v>
      </c>
      <c r="BW52" s="49" t="e">
        <f t="shared" si="15"/>
        <v>#DIV/0!</v>
      </c>
      <c r="BX52" s="49" t="e">
        <f t="shared" si="16"/>
        <v>#DIV/0!</v>
      </c>
      <c r="BY52" s="49" t="e">
        <f t="shared" si="17"/>
        <v>#DIV/0!</v>
      </c>
      <c r="BZ52" s="49" t="e">
        <f t="shared" si="18"/>
        <v>#DIV/0!</v>
      </c>
      <c r="CA52" s="49" t="e">
        <f t="shared" si="19"/>
        <v>#DIV/0!</v>
      </c>
      <c r="CB52" s="49" t="e">
        <f t="shared" si="20"/>
        <v>#DIV/0!</v>
      </c>
      <c r="CC52" s="49" t="e">
        <f t="shared" si="21"/>
        <v>#DIV/0!</v>
      </c>
      <c r="CD52" s="49" t="e">
        <f t="shared" si="22"/>
        <v>#DIV/0!</v>
      </c>
      <c r="CE52" s="49" t="e">
        <f t="shared" si="23"/>
        <v>#DIV/0!</v>
      </c>
      <c r="CF52" s="49" t="e">
        <f t="shared" si="24"/>
        <v>#DIV/0!</v>
      </c>
      <c r="CG52" s="49" t="e">
        <f t="shared" si="25"/>
        <v>#DIV/0!</v>
      </c>
      <c r="CH52" s="49" t="e">
        <f t="shared" si="26"/>
        <v>#DIV/0!</v>
      </c>
      <c r="CI52" s="49" t="e">
        <f t="shared" si="27"/>
        <v>#DIV/0!</v>
      </c>
      <c r="CJ52" s="49" t="e">
        <f t="shared" si="28"/>
        <v>#DIV/0!</v>
      </c>
      <c r="CK52" s="49" t="e">
        <f t="shared" si="29"/>
        <v>#DIV/0!</v>
      </c>
      <c r="CL52" s="49" t="e">
        <f t="shared" si="30"/>
        <v>#DIV/0!</v>
      </c>
      <c r="CM52" s="49" t="e">
        <f t="shared" si="31"/>
        <v>#DIV/0!</v>
      </c>
      <c r="CN52" s="49" t="e">
        <f t="shared" si="32"/>
        <v>#DIV/0!</v>
      </c>
      <c r="CO52" s="49" t="e">
        <f t="shared" si="33"/>
        <v>#DIV/0!</v>
      </c>
      <c r="CP52" s="49" t="e">
        <f t="shared" si="34"/>
        <v>#DIV/0!</v>
      </c>
      <c r="CQ52" s="49" t="e">
        <f t="shared" si="35"/>
        <v>#DIV/0!</v>
      </c>
      <c r="CR52" s="49" t="e">
        <f t="shared" si="36"/>
        <v>#DIV/0!</v>
      </c>
      <c r="CS52" s="49" t="e">
        <f t="shared" si="37"/>
        <v>#DIV/0!</v>
      </c>
      <c r="CT52" s="49" t="e">
        <f t="shared" si="38"/>
        <v>#DIV/0!</v>
      </c>
      <c r="CU52" s="49" t="e">
        <f t="shared" si="39"/>
        <v>#DIV/0!</v>
      </c>
    </row>
    <row r="53" spans="1:99">
      <c r="A53" s="99"/>
      <c r="B53" s="123"/>
      <c r="C53" s="123"/>
      <c r="D53" s="123"/>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c r="AF53" s="100"/>
      <c r="AI53" s="2"/>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67"/>
      <c r="BQ53" s="49">
        <f t="shared" si="9"/>
        <v>0</v>
      </c>
      <c r="BR53" s="49">
        <f t="shared" si="10"/>
        <v>0</v>
      </c>
      <c r="BS53" s="49">
        <f t="shared" si="11"/>
        <v>0</v>
      </c>
      <c r="BT53" s="49" t="e">
        <f t="shared" si="12"/>
        <v>#DIV/0!</v>
      </c>
      <c r="BU53" s="49">
        <f t="shared" si="13"/>
        <v>0</v>
      </c>
      <c r="BV53" s="49">
        <f t="shared" si="14"/>
        <v>0</v>
      </c>
      <c r="BW53" s="49" t="e">
        <f t="shared" si="15"/>
        <v>#DIV/0!</v>
      </c>
      <c r="BX53" s="49" t="e">
        <f t="shared" si="16"/>
        <v>#DIV/0!</v>
      </c>
      <c r="BY53" s="49" t="e">
        <f t="shared" si="17"/>
        <v>#DIV/0!</v>
      </c>
      <c r="BZ53" s="49" t="e">
        <f t="shared" si="18"/>
        <v>#DIV/0!</v>
      </c>
      <c r="CA53" s="49" t="e">
        <f t="shared" si="19"/>
        <v>#DIV/0!</v>
      </c>
      <c r="CB53" s="49" t="e">
        <f t="shared" si="20"/>
        <v>#DIV/0!</v>
      </c>
      <c r="CC53" s="49" t="e">
        <f t="shared" si="21"/>
        <v>#DIV/0!</v>
      </c>
      <c r="CD53" s="49" t="e">
        <f t="shared" si="22"/>
        <v>#DIV/0!</v>
      </c>
      <c r="CE53" s="49" t="e">
        <f t="shared" si="23"/>
        <v>#DIV/0!</v>
      </c>
      <c r="CF53" s="49" t="e">
        <f t="shared" si="24"/>
        <v>#DIV/0!</v>
      </c>
      <c r="CG53" s="49" t="e">
        <f t="shared" si="25"/>
        <v>#DIV/0!</v>
      </c>
      <c r="CH53" s="49" t="e">
        <f t="shared" si="26"/>
        <v>#DIV/0!</v>
      </c>
      <c r="CI53" s="49" t="e">
        <f t="shared" si="27"/>
        <v>#DIV/0!</v>
      </c>
      <c r="CJ53" s="49" t="e">
        <f t="shared" si="28"/>
        <v>#DIV/0!</v>
      </c>
      <c r="CK53" s="49" t="e">
        <f t="shared" si="29"/>
        <v>#DIV/0!</v>
      </c>
      <c r="CL53" s="49" t="e">
        <f t="shared" si="30"/>
        <v>#DIV/0!</v>
      </c>
      <c r="CM53" s="49" t="e">
        <f t="shared" si="31"/>
        <v>#DIV/0!</v>
      </c>
      <c r="CN53" s="49" t="e">
        <f t="shared" si="32"/>
        <v>#DIV/0!</v>
      </c>
      <c r="CO53" s="49" t="e">
        <f t="shared" si="33"/>
        <v>#DIV/0!</v>
      </c>
      <c r="CP53" s="49" t="e">
        <f t="shared" si="34"/>
        <v>#DIV/0!</v>
      </c>
      <c r="CQ53" s="49" t="e">
        <f t="shared" si="35"/>
        <v>#DIV/0!</v>
      </c>
      <c r="CR53" s="49" t="e">
        <f t="shared" si="36"/>
        <v>#DIV/0!</v>
      </c>
      <c r="CS53" s="49" t="e">
        <f t="shared" si="37"/>
        <v>#DIV/0!</v>
      </c>
      <c r="CT53" s="49" t="e">
        <f t="shared" si="38"/>
        <v>#DIV/0!</v>
      </c>
      <c r="CU53" s="49" t="e">
        <f t="shared" si="39"/>
        <v>#DIV/0!</v>
      </c>
    </row>
    <row r="54" spans="1:99">
      <c r="A54" s="99"/>
      <c r="B54" s="123"/>
      <c r="C54" s="123"/>
      <c r="D54" s="123"/>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c r="AF54" s="100"/>
      <c r="AI54" s="2"/>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67"/>
      <c r="BQ54" s="49">
        <f t="shared" si="9"/>
        <v>0</v>
      </c>
      <c r="BR54" s="49">
        <f t="shared" si="10"/>
        <v>0</v>
      </c>
      <c r="BS54" s="49">
        <f t="shared" si="11"/>
        <v>0</v>
      </c>
      <c r="BT54" s="49" t="e">
        <f t="shared" si="12"/>
        <v>#DIV/0!</v>
      </c>
      <c r="BU54" s="49">
        <f t="shared" si="13"/>
        <v>0</v>
      </c>
      <c r="BV54" s="49">
        <f t="shared" si="14"/>
        <v>0</v>
      </c>
      <c r="BW54" s="49" t="e">
        <f t="shared" si="15"/>
        <v>#DIV/0!</v>
      </c>
      <c r="BX54" s="49" t="e">
        <f t="shared" si="16"/>
        <v>#DIV/0!</v>
      </c>
      <c r="BY54" s="49" t="e">
        <f t="shared" si="17"/>
        <v>#DIV/0!</v>
      </c>
      <c r="BZ54" s="49" t="e">
        <f t="shared" si="18"/>
        <v>#DIV/0!</v>
      </c>
      <c r="CA54" s="49" t="e">
        <f t="shared" si="19"/>
        <v>#DIV/0!</v>
      </c>
      <c r="CB54" s="49" t="e">
        <f t="shared" si="20"/>
        <v>#DIV/0!</v>
      </c>
      <c r="CC54" s="49" t="e">
        <f t="shared" si="21"/>
        <v>#DIV/0!</v>
      </c>
      <c r="CD54" s="49" t="e">
        <f t="shared" si="22"/>
        <v>#DIV/0!</v>
      </c>
      <c r="CE54" s="49" t="e">
        <f t="shared" si="23"/>
        <v>#DIV/0!</v>
      </c>
      <c r="CF54" s="49" t="e">
        <f t="shared" si="24"/>
        <v>#DIV/0!</v>
      </c>
      <c r="CG54" s="49" t="e">
        <f t="shared" si="25"/>
        <v>#DIV/0!</v>
      </c>
      <c r="CH54" s="49" t="e">
        <f t="shared" si="26"/>
        <v>#DIV/0!</v>
      </c>
      <c r="CI54" s="49" t="e">
        <f t="shared" si="27"/>
        <v>#DIV/0!</v>
      </c>
      <c r="CJ54" s="49" t="e">
        <f t="shared" si="28"/>
        <v>#DIV/0!</v>
      </c>
      <c r="CK54" s="49" t="e">
        <f t="shared" si="29"/>
        <v>#DIV/0!</v>
      </c>
      <c r="CL54" s="49" t="e">
        <f t="shared" si="30"/>
        <v>#DIV/0!</v>
      </c>
      <c r="CM54" s="49" t="e">
        <f t="shared" si="31"/>
        <v>#DIV/0!</v>
      </c>
      <c r="CN54" s="49" t="e">
        <f t="shared" si="32"/>
        <v>#DIV/0!</v>
      </c>
      <c r="CO54" s="49" t="e">
        <f t="shared" si="33"/>
        <v>#DIV/0!</v>
      </c>
      <c r="CP54" s="49" t="e">
        <f t="shared" si="34"/>
        <v>#DIV/0!</v>
      </c>
      <c r="CQ54" s="49" t="e">
        <f t="shared" si="35"/>
        <v>#DIV/0!</v>
      </c>
      <c r="CR54" s="49" t="e">
        <f t="shared" si="36"/>
        <v>#DIV/0!</v>
      </c>
      <c r="CS54" s="49" t="e">
        <f t="shared" si="37"/>
        <v>#DIV/0!</v>
      </c>
      <c r="CT54" s="49" t="e">
        <f t="shared" si="38"/>
        <v>#DIV/0!</v>
      </c>
      <c r="CU54" s="49" t="e">
        <f t="shared" si="39"/>
        <v>#DIV/0!</v>
      </c>
    </row>
    <row r="55" spans="1:99">
      <c r="A55" s="99"/>
      <c r="B55" s="123"/>
      <c r="C55" s="123"/>
      <c r="D55" s="123"/>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c r="AF55" s="100"/>
      <c r="AI55" s="2"/>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67"/>
      <c r="BQ55" s="49">
        <f t="shared" si="9"/>
        <v>0</v>
      </c>
      <c r="BR55" s="49">
        <f t="shared" si="10"/>
        <v>0</v>
      </c>
      <c r="BS55" s="49">
        <f t="shared" si="11"/>
        <v>0</v>
      </c>
      <c r="BT55" s="49" t="e">
        <f t="shared" si="12"/>
        <v>#DIV/0!</v>
      </c>
      <c r="BU55" s="49">
        <f t="shared" si="13"/>
        <v>0</v>
      </c>
      <c r="BV55" s="49">
        <f t="shared" si="14"/>
        <v>0</v>
      </c>
      <c r="BW55" s="49" t="e">
        <f t="shared" si="15"/>
        <v>#DIV/0!</v>
      </c>
      <c r="BX55" s="49" t="e">
        <f t="shared" si="16"/>
        <v>#DIV/0!</v>
      </c>
      <c r="BY55" s="49" t="e">
        <f t="shared" si="17"/>
        <v>#DIV/0!</v>
      </c>
      <c r="BZ55" s="49" t="e">
        <f t="shared" si="18"/>
        <v>#DIV/0!</v>
      </c>
      <c r="CA55" s="49" t="e">
        <f t="shared" si="19"/>
        <v>#DIV/0!</v>
      </c>
      <c r="CB55" s="49" t="e">
        <f t="shared" si="20"/>
        <v>#DIV/0!</v>
      </c>
      <c r="CC55" s="49" t="e">
        <f t="shared" si="21"/>
        <v>#DIV/0!</v>
      </c>
      <c r="CD55" s="49" t="e">
        <f t="shared" si="22"/>
        <v>#DIV/0!</v>
      </c>
      <c r="CE55" s="49" t="e">
        <f t="shared" si="23"/>
        <v>#DIV/0!</v>
      </c>
      <c r="CF55" s="49" t="e">
        <f t="shared" si="24"/>
        <v>#DIV/0!</v>
      </c>
      <c r="CG55" s="49" t="e">
        <f t="shared" si="25"/>
        <v>#DIV/0!</v>
      </c>
      <c r="CH55" s="49" t="e">
        <f t="shared" si="26"/>
        <v>#DIV/0!</v>
      </c>
      <c r="CI55" s="49" t="e">
        <f t="shared" si="27"/>
        <v>#DIV/0!</v>
      </c>
      <c r="CJ55" s="49" t="e">
        <f t="shared" si="28"/>
        <v>#DIV/0!</v>
      </c>
      <c r="CK55" s="49" t="e">
        <f t="shared" si="29"/>
        <v>#DIV/0!</v>
      </c>
      <c r="CL55" s="49" t="e">
        <f t="shared" si="30"/>
        <v>#DIV/0!</v>
      </c>
      <c r="CM55" s="49" t="e">
        <f t="shared" si="31"/>
        <v>#DIV/0!</v>
      </c>
      <c r="CN55" s="49" t="e">
        <f t="shared" si="32"/>
        <v>#DIV/0!</v>
      </c>
      <c r="CO55" s="49" t="e">
        <f t="shared" si="33"/>
        <v>#DIV/0!</v>
      </c>
      <c r="CP55" s="49" t="e">
        <f t="shared" si="34"/>
        <v>#DIV/0!</v>
      </c>
      <c r="CQ55" s="49" t="e">
        <f t="shared" si="35"/>
        <v>#DIV/0!</v>
      </c>
      <c r="CR55" s="49" t="e">
        <f t="shared" si="36"/>
        <v>#DIV/0!</v>
      </c>
      <c r="CS55" s="49" t="e">
        <f t="shared" si="37"/>
        <v>#DIV/0!</v>
      </c>
      <c r="CT55" s="49" t="e">
        <f t="shared" si="38"/>
        <v>#DIV/0!</v>
      </c>
      <c r="CU55" s="49" t="e">
        <f t="shared" si="39"/>
        <v>#DIV/0!</v>
      </c>
    </row>
    <row r="56" spans="1:99">
      <c r="A56" s="99"/>
      <c r="B56" s="123"/>
      <c r="C56" s="123"/>
      <c r="D56" s="123"/>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c r="AF56" s="100"/>
      <c r="AI56" s="2"/>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67"/>
      <c r="BQ56" s="49">
        <f t="shared" si="9"/>
        <v>0</v>
      </c>
      <c r="BR56" s="49">
        <f t="shared" si="10"/>
        <v>0</v>
      </c>
      <c r="BS56" s="49">
        <f t="shared" si="11"/>
        <v>0</v>
      </c>
      <c r="BT56" s="49" t="e">
        <f t="shared" si="12"/>
        <v>#DIV/0!</v>
      </c>
      <c r="BU56" s="49">
        <f t="shared" si="13"/>
        <v>0</v>
      </c>
      <c r="BV56" s="49">
        <f t="shared" si="14"/>
        <v>0</v>
      </c>
      <c r="BW56" s="49" t="e">
        <f t="shared" si="15"/>
        <v>#DIV/0!</v>
      </c>
      <c r="BX56" s="49" t="e">
        <f t="shared" si="16"/>
        <v>#DIV/0!</v>
      </c>
      <c r="BY56" s="49" t="e">
        <f t="shared" si="17"/>
        <v>#DIV/0!</v>
      </c>
      <c r="BZ56" s="49" t="e">
        <f t="shared" si="18"/>
        <v>#DIV/0!</v>
      </c>
      <c r="CA56" s="49" t="e">
        <f t="shared" si="19"/>
        <v>#DIV/0!</v>
      </c>
      <c r="CB56" s="49" t="e">
        <f t="shared" si="20"/>
        <v>#DIV/0!</v>
      </c>
      <c r="CC56" s="49" t="e">
        <f t="shared" si="21"/>
        <v>#DIV/0!</v>
      </c>
      <c r="CD56" s="49" t="e">
        <f t="shared" si="22"/>
        <v>#DIV/0!</v>
      </c>
      <c r="CE56" s="49" t="e">
        <f t="shared" si="23"/>
        <v>#DIV/0!</v>
      </c>
      <c r="CF56" s="49" t="e">
        <f t="shared" si="24"/>
        <v>#DIV/0!</v>
      </c>
      <c r="CG56" s="49" t="e">
        <f t="shared" si="25"/>
        <v>#DIV/0!</v>
      </c>
      <c r="CH56" s="49" t="e">
        <f t="shared" si="26"/>
        <v>#DIV/0!</v>
      </c>
      <c r="CI56" s="49" t="e">
        <f t="shared" si="27"/>
        <v>#DIV/0!</v>
      </c>
      <c r="CJ56" s="49" t="e">
        <f t="shared" si="28"/>
        <v>#DIV/0!</v>
      </c>
      <c r="CK56" s="49" t="e">
        <f t="shared" si="29"/>
        <v>#DIV/0!</v>
      </c>
      <c r="CL56" s="49" t="e">
        <f t="shared" si="30"/>
        <v>#DIV/0!</v>
      </c>
      <c r="CM56" s="49" t="e">
        <f t="shared" si="31"/>
        <v>#DIV/0!</v>
      </c>
      <c r="CN56" s="49" t="e">
        <f t="shared" si="32"/>
        <v>#DIV/0!</v>
      </c>
      <c r="CO56" s="49" t="e">
        <f t="shared" si="33"/>
        <v>#DIV/0!</v>
      </c>
      <c r="CP56" s="49" t="e">
        <f t="shared" si="34"/>
        <v>#DIV/0!</v>
      </c>
      <c r="CQ56" s="49" t="e">
        <f t="shared" si="35"/>
        <v>#DIV/0!</v>
      </c>
      <c r="CR56" s="49" t="e">
        <f t="shared" si="36"/>
        <v>#DIV/0!</v>
      </c>
      <c r="CS56" s="49" t="e">
        <f t="shared" si="37"/>
        <v>#DIV/0!</v>
      </c>
      <c r="CT56" s="49" t="e">
        <f t="shared" si="38"/>
        <v>#DIV/0!</v>
      </c>
      <c r="CU56" s="49" t="e">
        <f t="shared" si="39"/>
        <v>#DIV/0!</v>
      </c>
    </row>
    <row r="57" spans="1:99">
      <c r="A57" s="99"/>
      <c r="B57" s="123"/>
      <c r="C57" s="123"/>
      <c r="D57" s="123"/>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c r="AF57" s="100"/>
      <c r="AI57" s="2"/>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67"/>
      <c r="BQ57" s="49">
        <f t="shared" si="9"/>
        <v>0</v>
      </c>
      <c r="BR57" s="49">
        <f t="shared" si="10"/>
        <v>0</v>
      </c>
      <c r="BS57" s="49">
        <f t="shared" si="11"/>
        <v>0</v>
      </c>
      <c r="BT57" s="49" t="e">
        <f t="shared" si="12"/>
        <v>#DIV/0!</v>
      </c>
      <c r="BU57" s="49">
        <f t="shared" si="13"/>
        <v>0</v>
      </c>
      <c r="BV57" s="49">
        <f t="shared" si="14"/>
        <v>0</v>
      </c>
      <c r="BW57" s="49" t="e">
        <f t="shared" si="15"/>
        <v>#DIV/0!</v>
      </c>
      <c r="BX57" s="49" t="e">
        <f t="shared" si="16"/>
        <v>#DIV/0!</v>
      </c>
      <c r="BY57" s="49" t="e">
        <f t="shared" si="17"/>
        <v>#DIV/0!</v>
      </c>
      <c r="BZ57" s="49" t="e">
        <f t="shared" si="18"/>
        <v>#DIV/0!</v>
      </c>
      <c r="CA57" s="49" t="e">
        <f t="shared" si="19"/>
        <v>#DIV/0!</v>
      </c>
      <c r="CB57" s="49" t="e">
        <f t="shared" si="20"/>
        <v>#DIV/0!</v>
      </c>
      <c r="CC57" s="49" t="e">
        <f t="shared" si="21"/>
        <v>#DIV/0!</v>
      </c>
      <c r="CD57" s="49" t="e">
        <f t="shared" si="22"/>
        <v>#DIV/0!</v>
      </c>
      <c r="CE57" s="49" t="e">
        <f t="shared" si="23"/>
        <v>#DIV/0!</v>
      </c>
      <c r="CF57" s="49" t="e">
        <f t="shared" si="24"/>
        <v>#DIV/0!</v>
      </c>
      <c r="CG57" s="49" t="e">
        <f t="shared" si="25"/>
        <v>#DIV/0!</v>
      </c>
      <c r="CH57" s="49" t="e">
        <f t="shared" si="26"/>
        <v>#DIV/0!</v>
      </c>
      <c r="CI57" s="49" t="e">
        <f t="shared" si="27"/>
        <v>#DIV/0!</v>
      </c>
      <c r="CJ57" s="49" t="e">
        <f t="shared" si="28"/>
        <v>#DIV/0!</v>
      </c>
      <c r="CK57" s="49" t="e">
        <f t="shared" si="29"/>
        <v>#DIV/0!</v>
      </c>
      <c r="CL57" s="49" t="e">
        <f t="shared" si="30"/>
        <v>#DIV/0!</v>
      </c>
      <c r="CM57" s="49" t="e">
        <f t="shared" si="31"/>
        <v>#DIV/0!</v>
      </c>
      <c r="CN57" s="49" t="e">
        <f t="shared" si="32"/>
        <v>#DIV/0!</v>
      </c>
      <c r="CO57" s="49" t="e">
        <f t="shared" si="33"/>
        <v>#DIV/0!</v>
      </c>
      <c r="CP57" s="49" t="e">
        <f t="shared" si="34"/>
        <v>#DIV/0!</v>
      </c>
      <c r="CQ57" s="49" t="e">
        <f t="shared" si="35"/>
        <v>#DIV/0!</v>
      </c>
      <c r="CR57" s="49" t="e">
        <f t="shared" si="36"/>
        <v>#DIV/0!</v>
      </c>
      <c r="CS57" s="49" t="e">
        <f t="shared" si="37"/>
        <v>#DIV/0!</v>
      </c>
      <c r="CT57" s="49" t="e">
        <f t="shared" si="38"/>
        <v>#DIV/0!</v>
      </c>
      <c r="CU57" s="49" t="e">
        <f t="shared" si="39"/>
        <v>#DIV/0!</v>
      </c>
    </row>
    <row r="58" spans="1:99">
      <c r="A58" s="99"/>
      <c r="B58" s="123"/>
      <c r="C58" s="123"/>
      <c r="D58" s="123"/>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c r="AF58" s="100"/>
      <c r="AI58" s="2"/>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67"/>
      <c r="BQ58" s="49">
        <f t="shared" si="9"/>
        <v>0</v>
      </c>
      <c r="BR58" s="49">
        <f t="shared" si="10"/>
        <v>0</v>
      </c>
      <c r="BS58" s="49">
        <f t="shared" si="11"/>
        <v>0</v>
      </c>
      <c r="BT58" s="49" t="e">
        <f t="shared" si="12"/>
        <v>#DIV/0!</v>
      </c>
      <c r="BU58" s="49">
        <f t="shared" si="13"/>
        <v>0</v>
      </c>
      <c r="BV58" s="49">
        <f t="shared" si="14"/>
        <v>0</v>
      </c>
      <c r="BW58" s="49" t="e">
        <f t="shared" si="15"/>
        <v>#DIV/0!</v>
      </c>
      <c r="BX58" s="49" t="e">
        <f t="shared" si="16"/>
        <v>#DIV/0!</v>
      </c>
      <c r="BY58" s="49" t="e">
        <f t="shared" si="17"/>
        <v>#DIV/0!</v>
      </c>
      <c r="BZ58" s="49" t="e">
        <f t="shared" si="18"/>
        <v>#DIV/0!</v>
      </c>
      <c r="CA58" s="49" t="e">
        <f t="shared" si="19"/>
        <v>#DIV/0!</v>
      </c>
      <c r="CB58" s="49" t="e">
        <f t="shared" si="20"/>
        <v>#DIV/0!</v>
      </c>
      <c r="CC58" s="49" t="e">
        <f t="shared" si="21"/>
        <v>#DIV/0!</v>
      </c>
      <c r="CD58" s="49" t="e">
        <f t="shared" si="22"/>
        <v>#DIV/0!</v>
      </c>
      <c r="CE58" s="49" t="e">
        <f t="shared" si="23"/>
        <v>#DIV/0!</v>
      </c>
      <c r="CF58" s="49" t="e">
        <f t="shared" si="24"/>
        <v>#DIV/0!</v>
      </c>
      <c r="CG58" s="49" t="e">
        <f t="shared" si="25"/>
        <v>#DIV/0!</v>
      </c>
      <c r="CH58" s="49" t="e">
        <f t="shared" si="26"/>
        <v>#DIV/0!</v>
      </c>
      <c r="CI58" s="49" t="e">
        <f t="shared" si="27"/>
        <v>#DIV/0!</v>
      </c>
      <c r="CJ58" s="49" t="e">
        <f t="shared" si="28"/>
        <v>#DIV/0!</v>
      </c>
      <c r="CK58" s="49" t="e">
        <f t="shared" si="29"/>
        <v>#DIV/0!</v>
      </c>
      <c r="CL58" s="49" t="e">
        <f t="shared" si="30"/>
        <v>#DIV/0!</v>
      </c>
      <c r="CM58" s="49" t="e">
        <f t="shared" si="31"/>
        <v>#DIV/0!</v>
      </c>
      <c r="CN58" s="49" t="e">
        <f t="shared" si="32"/>
        <v>#DIV/0!</v>
      </c>
      <c r="CO58" s="49" t="e">
        <f t="shared" si="33"/>
        <v>#DIV/0!</v>
      </c>
      <c r="CP58" s="49" t="e">
        <f t="shared" si="34"/>
        <v>#DIV/0!</v>
      </c>
      <c r="CQ58" s="49" t="e">
        <f t="shared" si="35"/>
        <v>#DIV/0!</v>
      </c>
      <c r="CR58" s="49" t="e">
        <f t="shared" si="36"/>
        <v>#DIV/0!</v>
      </c>
      <c r="CS58" s="49" t="e">
        <f t="shared" si="37"/>
        <v>#DIV/0!</v>
      </c>
      <c r="CT58" s="49" t="e">
        <f t="shared" si="38"/>
        <v>#DIV/0!</v>
      </c>
      <c r="CU58" s="49" t="e">
        <f t="shared" si="39"/>
        <v>#DIV/0!</v>
      </c>
    </row>
    <row r="59" spans="1:99">
      <c r="A59" s="99"/>
      <c r="B59" s="123"/>
      <c r="C59" s="123"/>
      <c r="D59" s="123"/>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c r="AF59" s="100"/>
      <c r="AI59" s="2"/>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67"/>
      <c r="BQ59" s="49">
        <f t="shared" si="9"/>
        <v>0</v>
      </c>
      <c r="BR59" s="49">
        <f t="shared" si="10"/>
        <v>0</v>
      </c>
      <c r="BS59" s="49">
        <f t="shared" si="11"/>
        <v>0</v>
      </c>
      <c r="BT59" s="49" t="e">
        <f t="shared" si="12"/>
        <v>#DIV/0!</v>
      </c>
      <c r="BU59" s="49">
        <f t="shared" si="13"/>
        <v>0</v>
      </c>
      <c r="BV59" s="49">
        <f t="shared" si="14"/>
        <v>0</v>
      </c>
      <c r="BW59" s="49" t="e">
        <f t="shared" si="15"/>
        <v>#DIV/0!</v>
      </c>
      <c r="BX59" s="49" t="e">
        <f t="shared" si="16"/>
        <v>#DIV/0!</v>
      </c>
      <c r="BY59" s="49" t="e">
        <f t="shared" si="17"/>
        <v>#DIV/0!</v>
      </c>
      <c r="BZ59" s="49" t="e">
        <f t="shared" si="18"/>
        <v>#DIV/0!</v>
      </c>
      <c r="CA59" s="49" t="e">
        <f t="shared" si="19"/>
        <v>#DIV/0!</v>
      </c>
      <c r="CB59" s="49" t="e">
        <f t="shared" si="20"/>
        <v>#DIV/0!</v>
      </c>
      <c r="CC59" s="49" t="e">
        <f t="shared" si="21"/>
        <v>#DIV/0!</v>
      </c>
      <c r="CD59" s="49" t="e">
        <f t="shared" si="22"/>
        <v>#DIV/0!</v>
      </c>
      <c r="CE59" s="49" t="e">
        <f t="shared" si="23"/>
        <v>#DIV/0!</v>
      </c>
      <c r="CF59" s="49" t="e">
        <f t="shared" si="24"/>
        <v>#DIV/0!</v>
      </c>
      <c r="CG59" s="49" t="e">
        <f t="shared" si="25"/>
        <v>#DIV/0!</v>
      </c>
      <c r="CH59" s="49" t="e">
        <f t="shared" si="26"/>
        <v>#DIV/0!</v>
      </c>
      <c r="CI59" s="49" t="e">
        <f t="shared" si="27"/>
        <v>#DIV/0!</v>
      </c>
      <c r="CJ59" s="49" t="e">
        <f t="shared" si="28"/>
        <v>#DIV/0!</v>
      </c>
      <c r="CK59" s="49" t="e">
        <f t="shared" si="29"/>
        <v>#DIV/0!</v>
      </c>
      <c r="CL59" s="49" t="e">
        <f t="shared" si="30"/>
        <v>#DIV/0!</v>
      </c>
      <c r="CM59" s="49" t="e">
        <f t="shared" si="31"/>
        <v>#DIV/0!</v>
      </c>
      <c r="CN59" s="49" t="e">
        <f t="shared" si="32"/>
        <v>#DIV/0!</v>
      </c>
      <c r="CO59" s="49" t="e">
        <f t="shared" si="33"/>
        <v>#DIV/0!</v>
      </c>
      <c r="CP59" s="49" t="e">
        <f t="shared" si="34"/>
        <v>#DIV/0!</v>
      </c>
      <c r="CQ59" s="49" t="e">
        <f t="shared" si="35"/>
        <v>#DIV/0!</v>
      </c>
      <c r="CR59" s="49" t="e">
        <f t="shared" si="36"/>
        <v>#DIV/0!</v>
      </c>
      <c r="CS59" s="49" t="e">
        <f t="shared" si="37"/>
        <v>#DIV/0!</v>
      </c>
      <c r="CT59" s="49" t="e">
        <f t="shared" si="38"/>
        <v>#DIV/0!</v>
      </c>
      <c r="CU59" s="49" t="e">
        <f t="shared" si="39"/>
        <v>#DIV/0!</v>
      </c>
    </row>
    <row r="60" spans="1:99">
      <c r="A60" s="99"/>
      <c r="B60" s="123"/>
      <c r="C60" s="123"/>
      <c r="D60" s="123"/>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c r="AF60" s="100"/>
      <c r="AI60" s="2"/>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67"/>
      <c r="BQ60" s="49">
        <f t="shared" si="9"/>
        <v>0</v>
      </c>
      <c r="BR60" s="49">
        <f t="shared" si="10"/>
        <v>0</v>
      </c>
      <c r="BS60" s="49">
        <f t="shared" si="11"/>
        <v>0</v>
      </c>
      <c r="BT60" s="49" t="e">
        <f t="shared" si="12"/>
        <v>#DIV/0!</v>
      </c>
      <c r="BU60" s="49">
        <f t="shared" si="13"/>
        <v>0</v>
      </c>
      <c r="BV60" s="49">
        <f t="shared" si="14"/>
        <v>0</v>
      </c>
      <c r="BW60" s="49" t="e">
        <f t="shared" si="15"/>
        <v>#DIV/0!</v>
      </c>
      <c r="BX60" s="49" t="e">
        <f t="shared" si="16"/>
        <v>#DIV/0!</v>
      </c>
      <c r="BY60" s="49" t="e">
        <f t="shared" si="17"/>
        <v>#DIV/0!</v>
      </c>
      <c r="BZ60" s="49" t="e">
        <f t="shared" si="18"/>
        <v>#DIV/0!</v>
      </c>
      <c r="CA60" s="49" t="e">
        <f t="shared" si="19"/>
        <v>#DIV/0!</v>
      </c>
      <c r="CB60" s="49" t="e">
        <f t="shared" si="20"/>
        <v>#DIV/0!</v>
      </c>
      <c r="CC60" s="49" t="e">
        <f t="shared" si="21"/>
        <v>#DIV/0!</v>
      </c>
      <c r="CD60" s="49" t="e">
        <f t="shared" si="22"/>
        <v>#DIV/0!</v>
      </c>
      <c r="CE60" s="49" t="e">
        <f t="shared" si="23"/>
        <v>#DIV/0!</v>
      </c>
      <c r="CF60" s="49" t="e">
        <f t="shared" si="24"/>
        <v>#DIV/0!</v>
      </c>
      <c r="CG60" s="49" t="e">
        <f t="shared" si="25"/>
        <v>#DIV/0!</v>
      </c>
      <c r="CH60" s="49" t="e">
        <f t="shared" si="26"/>
        <v>#DIV/0!</v>
      </c>
      <c r="CI60" s="49" t="e">
        <f t="shared" si="27"/>
        <v>#DIV/0!</v>
      </c>
      <c r="CJ60" s="49" t="e">
        <f t="shared" si="28"/>
        <v>#DIV/0!</v>
      </c>
      <c r="CK60" s="49" t="e">
        <f t="shared" si="29"/>
        <v>#DIV/0!</v>
      </c>
      <c r="CL60" s="49" t="e">
        <f t="shared" si="30"/>
        <v>#DIV/0!</v>
      </c>
      <c r="CM60" s="49" t="e">
        <f t="shared" si="31"/>
        <v>#DIV/0!</v>
      </c>
      <c r="CN60" s="49" t="e">
        <f t="shared" si="32"/>
        <v>#DIV/0!</v>
      </c>
      <c r="CO60" s="49" t="e">
        <f t="shared" si="33"/>
        <v>#DIV/0!</v>
      </c>
      <c r="CP60" s="49" t="e">
        <f t="shared" si="34"/>
        <v>#DIV/0!</v>
      </c>
      <c r="CQ60" s="49" t="e">
        <f t="shared" si="35"/>
        <v>#DIV/0!</v>
      </c>
      <c r="CR60" s="49" t="e">
        <f t="shared" si="36"/>
        <v>#DIV/0!</v>
      </c>
      <c r="CS60" s="49" t="e">
        <f t="shared" si="37"/>
        <v>#DIV/0!</v>
      </c>
      <c r="CT60" s="49" t="e">
        <f t="shared" si="38"/>
        <v>#DIV/0!</v>
      </c>
      <c r="CU60" s="49" t="e">
        <f t="shared" si="39"/>
        <v>#DIV/0!</v>
      </c>
    </row>
    <row r="61" spans="1:99" ht="15" thickBot="1">
      <c r="A61" s="125"/>
      <c r="B61" s="126"/>
      <c r="C61" s="126"/>
      <c r="D61" s="126"/>
      <c r="E61" s="127"/>
      <c r="F61" s="127"/>
      <c r="G61" s="127"/>
      <c r="H61" s="127"/>
      <c r="I61" s="127"/>
      <c r="J61" s="127"/>
      <c r="K61" s="127"/>
      <c r="L61" s="127"/>
      <c r="M61" s="127"/>
      <c r="N61" s="127"/>
      <c r="O61" s="127"/>
      <c r="P61" s="127"/>
      <c r="Q61" s="127"/>
      <c r="R61" s="127"/>
      <c r="S61" s="127"/>
      <c r="T61" s="127"/>
      <c r="U61" s="127"/>
      <c r="V61" s="127"/>
      <c r="W61" s="127"/>
      <c r="X61" s="127"/>
      <c r="Y61" s="127"/>
      <c r="Z61" s="127"/>
      <c r="AA61" s="127"/>
      <c r="AB61" s="127"/>
      <c r="AC61" s="127"/>
      <c r="AD61" s="127"/>
      <c r="AE61" s="127"/>
      <c r="AF61" s="128"/>
      <c r="AI61" s="12"/>
      <c r="AJ61" s="13"/>
      <c r="AK61" s="13"/>
      <c r="AL61" s="13"/>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68"/>
      <c r="BQ61" s="49">
        <f t="shared" si="9"/>
        <v>0</v>
      </c>
      <c r="BR61" s="49">
        <f t="shared" si="10"/>
        <v>0</v>
      </c>
      <c r="BS61" s="49">
        <f t="shared" si="11"/>
        <v>0</v>
      </c>
      <c r="BT61" s="49" t="e">
        <f t="shared" si="12"/>
        <v>#DIV/0!</v>
      </c>
      <c r="BU61" s="49">
        <f t="shared" si="13"/>
        <v>0</v>
      </c>
      <c r="BV61" s="49">
        <f t="shared" si="14"/>
        <v>0</v>
      </c>
      <c r="BW61" s="49" t="e">
        <f t="shared" si="15"/>
        <v>#DIV/0!</v>
      </c>
      <c r="BX61" s="49" t="e">
        <f t="shared" si="16"/>
        <v>#DIV/0!</v>
      </c>
      <c r="BY61" s="49" t="e">
        <f t="shared" si="17"/>
        <v>#DIV/0!</v>
      </c>
      <c r="BZ61" s="49" t="e">
        <f t="shared" si="18"/>
        <v>#DIV/0!</v>
      </c>
      <c r="CA61" s="49" t="e">
        <f t="shared" si="19"/>
        <v>#DIV/0!</v>
      </c>
      <c r="CB61" s="49" t="e">
        <f t="shared" si="20"/>
        <v>#DIV/0!</v>
      </c>
      <c r="CC61" s="49" t="e">
        <f t="shared" si="21"/>
        <v>#DIV/0!</v>
      </c>
      <c r="CD61" s="49" t="e">
        <f t="shared" si="22"/>
        <v>#DIV/0!</v>
      </c>
      <c r="CE61" s="49" t="e">
        <f t="shared" si="23"/>
        <v>#DIV/0!</v>
      </c>
      <c r="CF61" s="49" t="e">
        <f t="shared" si="24"/>
        <v>#DIV/0!</v>
      </c>
      <c r="CG61" s="49" t="e">
        <f t="shared" si="25"/>
        <v>#DIV/0!</v>
      </c>
      <c r="CH61" s="49" t="e">
        <f t="shared" si="26"/>
        <v>#DIV/0!</v>
      </c>
      <c r="CI61" s="49" t="e">
        <f t="shared" si="27"/>
        <v>#DIV/0!</v>
      </c>
      <c r="CJ61" s="49" t="e">
        <f t="shared" si="28"/>
        <v>#DIV/0!</v>
      </c>
      <c r="CK61" s="49" t="e">
        <f t="shared" si="29"/>
        <v>#DIV/0!</v>
      </c>
      <c r="CL61" s="49" t="e">
        <f t="shared" si="30"/>
        <v>#DIV/0!</v>
      </c>
      <c r="CM61" s="49" t="e">
        <f t="shared" si="31"/>
        <v>#DIV/0!</v>
      </c>
      <c r="CN61" s="49" t="e">
        <f t="shared" si="32"/>
        <v>#DIV/0!</v>
      </c>
      <c r="CO61" s="49" t="e">
        <f t="shared" si="33"/>
        <v>#DIV/0!</v>
      </c>
      <c r="CP61" s="49" t="e">
        <f t="shared" si="34"/>
        <v>#DIV/0!</v>
      </c>
      <c r="CQ61" s="49" t="e">
        <f t="shared" si="35"/>
        <v>#DIV/0!</v>
      </c>
      <c r="CR61" s="49" t="e">
        <f t="shared" si="36"/>
        <v>#DIV/0!</v>
      </c>
      <c r="CS61" s="49" t="e">
        <f t="shared" si="37"/>
        <v>#DIV/0!</v>
      </c>
      <c r="CT61" s="49" t="e">
        <f t="shared" si="38"/>
        <v>#DIV/0!</v>
      </c>
      <c r="CU61" s="49" t="e">
        <f t="shared" si="39"/>
        <v>#DIV/0!</v>
      </c>
    </row>
    <row r="63" spans="1:99">
      <c r="BQ63" t="s">
        <v>172</v>
      </c>
      <c r="BS63" s="49">
        <f>MAX(BS4:BS61)</f>
        <v>0</v>
      </c>
      <c r="BT63" s="49" t="e">
        <f t="shared" ref="BT63:CU63" si="40">MAX(BT4:BT61)</f>
        <v>#DIV/0!</v>
      </c>
      <c r="BU63" s="49">
        <f t="shared" si="40"/>
        <v>1.8127621467778354E-4</v>
      </c>
      <c r="BV63" s="49">
        <f t="shared" si="40"/>
        <v>9.1827670556938659E-3</v>
      </c>
      <c r="BW63" s="49" t="e">
        <f t="shared" si="40"/>
        <v>#DIV/0!</v>
      </c>
      <c r="BX63" s="49" t="e">
        <f t="shared" si="40"/>
        <v>#DIV/0!</v>
      </c>
      <c r="BY63" s="49" t="e">
        <f t="shared" si="40"/>
        <v>#DIV/0!</v>
      </c>
      <c r="BZ63" s="49" t="e">
        <f t="shared" si="40"/>
        <v>#DIV/0!</v>
      </c>
      <c r="CA63" s="49" t="e">
        <f t="shared" si="40"/>
        <v>#DIV/0!</v>
      </c>
      <c r="CB63" s="49" t="e">
        <f t="shared" si="40"/>
        <v>#DIV/0!</v>
      </c>
      <c r="CC63" s="49" t="e">
        <f t="shared" si="40"/>
        <v>#DIV/0!</v>
      </c>
      <c r="CD63" s="49" t="e">
        <f t="shared" si="40"/>
        <v>#DIV/0!</v>
      </c>
      <c r="CE63" s="49" t="e">
        <f t="shared" si="40"/>
        <v>#DIV/0!</v>
      </c>
      <c r="CF63" s="49" t="e">
        <f t="shared" si="40"/>
        <v>#DIV/0!</v>
      </c>
      <c r="CG63" s="49" t="e">
        <f t="shared" si="40"/>
        <v>#DIV/0!</v>
      </c>
      <c r="CH63" s="49" t="e">
        <f t="shared" si="40"/>
        <v>#DIV/0!</v>
      </c>
      <c r="CI63" s="49" t="e">
        <f t="shared" si="40"/>
        <v>#DIV/0!</v>
      </c>
      <c r="CJ63" s="49" t="e">
        <f t="shared" si="40"/>
        <v>#DIV/0!</v>
      </c>
      <c r="CK63" s="49" t="e">
        <f t="shared" si="40"/>
        <v>#DIV/0!</v>
      </c>
      <c r="CL63" s="49" t="e">
        <f t="shared" si="40"/>
        <v>#DIV/0!</v>
      </c>
      <c r="CM63" s="49" t="e">
        <f t="shared" si="40"/>
        <v>#DIV/0!</v>
      </c>
      <c r="CN63" s="49" t="e">
        <f t="shared" si="40"/>
        <v>#DIV/0!</v>
      </c>
      <c r="CO63" s="49" t="e">
        <f t="shared" si="40"/>
        <v>#DIV/0!</v>
      </c>
      <c r="CP63" s="49" t="e">
        <f t="shared" si="40"/>
        <v>#DIV/0!</v>
      </c>
      <c r="CQ63" s="49" t="e">
        <f t="shared" si="40"/>
        <v>#DIV/0!</v>
      </c>
      <c r="CR63" s="49" t="e">
        <f t="shared" si="40"/>
        <v>#DIV/0!</v>
      </c>
      <c r="CS63" s="49" t="e">
        <f t="shared" si="40"/>
        <v>#DIV/0!</v>
      </c>
      <c r="CT63" s="49" t="e">
        <f t="shared" si="40"/>
        <v>#DIV/0!</v>
      </c>
      <c r="CU63" s="49" t="e">
        <f t="shared" si="40"/>
        <v>#DIV/0!</v>
      </c>
    </row>
  </sheetData>
  <mergeCells count="3">
    <mergeCell ref="BP1:CU1"/>
    <mergeCell ref="BP2:BR2"/>
    <mergeCell ref="BS2:BV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760F0-88CF-4C2E-BB55-843E033B23A9}">
  <dimension ref="A1:AG112"/>
  <sheetViews>
    <sheetView zoomScale="55" zoomScaleNormal="55" workbookViewId="0">
      <selection activeCell="P10" sqref="P10"/>
    </sheetView>
  </sheetViews>
  <sheetFormatPr defaultRowHeight="14.4"/>
  <cols>
    <col min="1" max="1" width="9.44140625" bestFit="1" customWidth="1"/>
    <col min="2" max="2" width="10" bestFit="1" customWidth="1"/>
    <col min="3" max="3" width="15.21875" bestFit="1" customWidth="1"/>
    <col min="4" max="4" width="11.6640625" bestFit="1" customWidth="1"/>
    <col min="5" max="5" width="18.33203125" bestFit="1" customWidth="1"/>
    <col min="6" max="6" width="18.109375" bestFit="1" customWidth="1"/>
    <col min="7" max="9" width="18.33203125" bestFit="1" customWidth="1"/>
    <col min="10" max="10" width="18.88671875" bestFit="1" customWidth="1"/>
    <col min="11" max="11" width="18.33203125" bestFit="1" customWidth="1"/>
    <col min="12" max="13" width="18.88671875" bestFit="1" customWidth="1"/>
    <col min="14" max="14" width="18.33203125" bestFit="1" customWidth="1"/>
    <col min="15" max="15" width="20.5546875" bestFit="1" customWidth="1"/>
    <col min="16" max="16" width="18.88671875" bestFit="1" customWidth="1"/>
    <col min="17" max="18" width="18.33203125" bestFit="1" customWidth="1"/>
    <col min="19" max="19" width="19.88671875" bestFit="1" customWidth="1"/>
    <col min="20" max="20" width="18.44140625" bestFit="1" customWidth="1"/>
    <col min="21" max="21" width="20.33203125" bestFit="1" customWidth="1"/>
    <col min="22" max="22" width="18.33203125" bestFit="1" customWidth="1"/>
    <col min="23" max="23" width="16.21875" bestFit="1" customWidth="1"/>
    <col min="24" max="24" width="17.44140625" bestFit="1" customWidth="1"/>
    <col min="25" max="27" width="16.21875" bestFit="1" customWidth="1"/>
    <col min="28" max="28" width="17" bestFit="1" customWidth="1"/>
    <col min="29" max="32" width="16.21875" bestFit="1" customWidth="1"/>
  </cols>
  <sheetData>
    <row r="1" spans="1:33">
      <c r="A1" t="s">
        <v>157</v>
      </c>
      <c r="B1" t="s">
        <v>158</v>
      </c>
      <c r="C1" t="s">
        <v>159</v>
      </c>
      <c r="D1" t="s">
        <v>160</v>
      </c>
      <c r="E1" t="s">
        <v>267</v>
      </c>
      <c r="F1" t="s">
        <v>268</v>
      </c>
      <c r="G1" t="s">
        <v>269</v>
      </c>
      <c r="H1" t="s">
        <v>270</v>
      </c>
      <c r="I1" t="s">
        <v>157</v>
      </c>
    </row>
    <row r="2" spans="1:33">
      <c r="A2">
        <v>1</v>
      </c>
      <c r="B2" t="s">
        <v>271</v>
      </c>
    </row>
    <row r="3" spans="1:33">
      <c r="A3" s="230" t="str">
        <f>REPT(" ",5-LEN(TEXT(EXI_beam_diff!A3,"###"))) &amp; TEXT(EXI_beam_diff!A3,"###")</f>
        <v>**num</v>
      </c>
      <c r="B3" s="230" t="str">
        <f xml:space="preserve"> REPT(" ",8-LEN(TEXT(EXI_beam_diff!B3,"0.0000")))  &amp;  TEXT(EXI_beam_diff!B3,"0.0000")</f>
        <v>Y [span]</v>
      </c>
      <c r="C3" s="230" t="str">
        <f xml:space="preserve"> REPT(" ",8-LEN(TEXT(EXI_beam_diff!C3,"0.0000")))  &amp;  TEXT(EXI_beam_diff!C3,"0.0000")</f>
        <v xml:space="preserve"> X [swe]</v>
      </c>
      <c r="D3" s="230" t="str">
        <f xml:space="preserve"> REPT(" ",8-LEN(TEXT(EXI_beam_diff!D3,"0.0000")))  &amp;  TEXT(EXI_beam_diff!D3,"0.0000")</f>
        <v xml:space="preserve"> Z [ben]</v>
      </c>
      <c r="E3" s="230" t="str">
        <f xml:space="preserve"> REPT(" ",19-LEN(TEXT(EXI_beam_diff!E3,"0.000000E+00")))  &amp;   TEXT(EXI_beam_diff!E3,"0.000000E+00")</f>
        <v xml:space="preserve">           m [kg/m]</v>
      </c>
      <c r="F3" s="230" t="str">
        <f xml:space="preserve"> REPT(" ",8-LEN(TEXT(EXI_beam_diff!F3,"0.0000")))  &amp;  TEXT(EXI_beam_diff!F3,"0.0000")</f>
        <v>x_cg [m]</v>
      </c>
      <c r="G3" s="230" t="str">
        <f xml:space="preserve"> REPT(" ",8-LEN(TEXT(EXI_beam_diff!G3,"0.0000")))  &amp;  TEXT(EXI_beam_diff!G3,"0.0000")</f>
        <v>z_cg [m]</v>
      </c>
      <c r="H3" s="230" t="str">
        <f xml:space="preserve"> REPT(" ",19-LEN(TEXT(EXI_beam_diff!H3,"0.000000E+00")))  &amp;   TEXT(EXI_beam_diff!H3,"0.000000E+00")</f>
        <v xml:space="preserve">        rIxx [kg*m]</v>
      </c>
      <c r="I3" s="230" t="str">
        <f xml:space="preserve"> REPT(" ",19-LEN(TEXT(EXI_beam_diff!I3,"0.000000E+00")))  &amp;   TEXT(EXI_beam_diff!I3,"0.000000E+00")</f>
        <v xml:space="preserve">        rIzz [kg*m]</v>
      </c>
      <c r="J3" s="230" t="str">
        <f xml:space="preserve"> REPT(" ",19-LEN(TEXT(EXI_beam_diff!J3,"0.000000E+00")))  &amp;   TEXT(EXI_beam_diff!J3,"0.000000E+00")</f>
        <v xml:space="preserve">        rIxz [kg*m]</v>
      </c>
      <c r="K3" s="230" t="str">
        <f xml:space="preserve"> REPT(" ",19-LEN(TEXT(EXI_beam_diff!K3,"0.000000E+00")))  &amp;   TEXT(EXI_beam_diff!K3,"0.000000E+00")</f>
        <v xml:space="preserve">             EA [N]</v>
      </c>
      <c r="L3" s="230" t="str">
        <f xml:space="preserve"> REPT(" ",19-LEN(TEXT(EXI_beam_diff!L3,"0.000000E+00")))  &amp;   TEXT(EXI_beam_diff!L3,"0.000000E+00")</f>
        <v xml:space="preserve">           EAx [Nm]</v>
      </c>
      <c r="M3" s="230" t="str">
        <f xml:space="preserve"> REPT(" ",19-LEN(TEXT(EXI_beam_diff!M3,"0.000000E+00")))  &amp;   TEXT(EXI_beam_diff!M3,"0.000000E+00")</f>
        <v xml:space="preserve">           EAz [Nm]</v>
      </c>
      <c r="N3" s="230" t="str">
        <f xml:space="preserve"> REPT(" ",19-LEN(TEXT(EXI_beam_diff!N3,"0.000000E+00")))  &amp;   TEXT(EXI_beam_diff!N3,"0.000000E+00")</f>
        <v xml:space="preserve">        EIxx [Nm^2]</v>
      </c>
      <c r="O3" s="230" t="str">
        <f xml:space="preserve"> REPT(" ",19-LEN(TEXT(EXI_beam_diff!O3,"0.000000E+00")))  &amp;   TEXT(EXI_beam_diff!O3,"0.000000E+00")</f>
        <v xml:space="preserve">        EIzz [Nm^2]</v>
      </c>
      <c r="P3" s="230" t="str">
        <f xml:space="preserve"> REPT(" ",19-LEN(TEXT(EXI_beam_diff!P3,"0.000000E+00")))  &amp;   TEXT(EXI_beam_diff!P3,"0.000000E+00")</f>
        <v xml:space="preserve">        EIxz [Nm^2]</v>
      </c>
      <c r="Q3" s="230" t="str">
        <f xml:space="preserve"> REPT(" ",19-LEN(TEXT(EXI_beam_diff!Q3,"0.000000E+00")))  &amp;   TEXT(EXI_beam_diff!Q3,"0.000000E+00")</f>
        <v xml:space="preserve">          GJ [Nm^2]</v>
      </c>
      <c r="R3" s="230" t="str">
        <f xml:space="preserve"> REPT(" ",19-LEN(TEXT(EXI_beam_diff!R3,"0.000000E+00")))  &amp;   TEXT(EXI_beam_diff!R3,"0.000000E+00")</f>
        <v xml:space="preserve">            GxA [N]</v>
      </c>
      <c r="S3" s="230" t="str">
        <f xml:space="preserve"> REPT(" ",19-LEN(TEXT(EXI_beam_diff!S3,"0.000000E+00")))  &amp;   TEXT(EXI_beam_diff!S3,"0.000000E+00")</f>
        <v xml:space="preserve">            GzA [N]</v>
      </c>
      <c r="T3" s="230" t="str">
        <f xml:space="preserve"> REPT(" ",19-LEN(TEXT(EXI_beam_diff!T3,"0.000000E+00")))  &amp;   TEXT(EXI_beam_diff!T3,"0.000000E+00")</f>
        <v xml:space="preserve">          GxAX [Nm]</v>
      </c>
      <c r="U3" s="230" t="str">
        <f xml:space="preserve"> REPT(" ",19-LEN(TEXT(EXI_beam_diff!U3,"0.000000E+00")))  &amp;   TEXT(EXI_beam_diff!U3,"0.000000E+00")</f>
        <v xml:space="preserve">          GzAZ [Nm]</v>
      </c>
      <c r="V3" s="230" t="str">
        <f xml:space="preserve"> REPT(" ",8-LEN(TEXT(EXI_beam_diff!V3,"0.0000")))  &amp;  TEXT(EXI_beam_diff!V3,"0.0000")</f>
        <v xml:space="preserve">  RR [m]</v>
      </c>
    </row>
    <row r="4" spans="1:33">
      <c r="A4" s="230" t="str">
        <f>REPT(" ",5-LEN(TEXT(EXI_beam_diff!A4,"###"))) &amp; TEXT(EXI_beam_diff!A4,"###")</f>
        <v xml:space="preserve">    1</v>
      </c>
      <c r="B4" s="230" t="str">
        <f xml:space="preserve"> REPT(" ",8-LEN(TEXT(EXI_beam_diff!B4,"0.0000")))  &amp;  TEXT(EXI_beam_diff!B4,"0.0000")</f>
        <v xml:space="preserve">  0.0000</v>
      </c>
      <c r="C4" s="230" t="str">
        <f xml:space="preserve"> REPT(" ",8-LEN(TEXT(EXI_beam_diff!C4,"0.0000")))  &amp;  TEXT(EXI_beam_diff!C4,"0.0000")</f>
        <v xml:space="preserve">  0.0000</v>
      </c>
      <c r="D4" s="230" t="str">
        <f xml:space="preserve"> REPT(" ",8-LEN(TEXT(EXI_beam_diff!D4,"0.0000")))  &amp;  TEXT(EXI_beam_diff!D4,"0.0000")</f>
        <v xml:space="preserve">  0.0000</v>
      </c>
      <c r="E4" s="230" t="str">
        <f xml:space="preserve"> REPT(" ",19-LEN(TEXT(EXI_beam_diff!E4,"0.000000E+00")))  &amp;   TEXT(EXI_beam_diff!E4,"0.000000E+00")</f>
        <v xml:space="preserve">       1.000000E+00</v>
      </c>
      <c r="F4" s="230" t="str">
        <f xml:space="preserve"> REPT(" ",8-LEN(TEXT(EXI_beam_diff!F4,"0.0000")))  &amp;  TEXT(EXI_beam_diff!F4,"0.0000")</f>
        <v xml:space="preserve">  0.0000</v>
      </c>
      <c r="G4" s="230" t="str">
        <f xml:space="preserve"> REPT(" ",8-LEN(TEXT(EXI_beam_diff!G4,"0.0000")))  &amp;  TEXT(EXI_beam_diff!G4,"0.0000")</f>
        <v xml:space="preserve">  0.0000</v>
      </c>
      <c r="H4" s="230" t="str">
        <f xml:space="preserve"> REPT(" ",19-LEN(TEXT(EXI_beam_diff!H4,"0.000000E+00")))  &amp;   TEXT(EXI_beam_diff!H4,"0.000000E+00")</f>
        <v xml:space="preserve">       1.000000E-01</v>
      </c>
      <c r="I4" s="230" t="str">
        <f xml:space="preserve"> REPT(" ",19-LEN(TEXT(EXI_beam_diff!I4,"0.000000E+00")))  &amp;   TEXT(EXI_beam_diff!I4,"0.000000E+00")</f>
        <v xml:space="preserve">       1.000000E-01</v>
      </c>
      <c r="J4" s="230" t="str">
        <f xml:space="preserve"> REPT(" ",19-LEN(TEXT(EXI_beam_diff!J4,"0.000000E+00")))  &amp;   TEXT(EXI_beam_diff!J4,"0.000000E+00")</f>
        <v xml:space="preserve">       0.000000E+00</v>
      </c>
      <c r="K4" s="230" t="str">
        <f xml:space="preserve"> REPT(" ",19-LEN(TEXT(EXI_beam_diff!K4,"0.000000E+00")))  &amp;   TEXT(EXI_beam_diff!K4,"0.000000E+00")</f>
        <v xml:space="preserve">       1.000000E+12</v>
      </c>
      <c r="L4" s="230" t="str">
        <f xml:space="preserve"> REPT(" ",19-LEN(TEXT(EXI_beam_diff!L4,"0.000000E+00")))  &amp;   TEXT(EXI_beam_diff!L4,"0.000000E+00")</f>
        <v xml:space="preserve">       0.000000E+00</v>
      </c>
      <c r="M4" s="230" t="str">
        <f xml:space="preserve"> REPT(" ",19-LEN(TEXT(EXI_beam_diff!M4,"0.000000E+00")))  &amp;   TEXT(EXI_beam_diff!M4,"0.000000E+00")</f>
        <v xml:space="preserve">       0.000000E+00</v>
      </c>
      <c r="N4" s="230" t="str">
        <f xml:space="preserve"> REPT(" ",19-LEN(TEXT(EXI_beam_diff!N4,"0.000000E+00")))  &amp;   TEXT(EXI_beam_diff!N4,"0.000000E+00")</f>
        <v xml:space="preserve">       1.000000E+10</v>
      </c>
      <c r="O4" s="230" t="str">
        <f xml:space="preserve"> REPT(" ",19-LEN(TEXT(EXI_beam_diff!O4,"0.000000E+00")))  &amp;   TEXT(EXI_beam_diff!O4,"0.000000E+00")</f>
        <v xml:space="preserve">       1.000000E+10</v>
      </c>
      <c r="P4" s="230" t="str">
        <f xml:space="preserve"> REPT(" ",19-LEN(TEXT(EXI_beam_diff!P4,"0.000000E+00")))  &amp;   TEXT(EXI_beam_diff!P4,"0.000000E+00")</f>
        <v xml:space="preserve">       0.000000E+00</v>
      </c>
      <c r="Q4" s="230" t="str">
        <f xml:space="preserve"> REPT(" ",19-LEN(TEXT(EXI_beam_diff!Q4,"0.000000E+00")))  &amp;   TEXT(EXI_beam_diff!Q4,"0.000000E+00")</f>
        <v xml:space="preserve">       1.000000E+09</v>
      </c>
      <c r="R4" s="230" t="str">
        <f xml:space="preserve"> REPT(" ",19-LEN(TEXT(EXI_beam_diff!R4,"0.000000E+00")))  &amp;   TEXT(EXI_beam_diff!R4,"0.000000E+00")</f>
        <v xml:space="preserve">       1.000000E+14</v>
      </c>
      <c r="S4" s="230" t="str">
        <f xml:space="preserve"> REPT(" ",19-LEN(TEXT(EXI_beam_diff!S4,"0.000000E+00")))  &amp;   TEXT(EXI_beam_diff!S4,"0.000000E+00")</f>
        <v xml:space="preserve">       1.000000E+14</v>
      </c>
      <c r="T4" s="230" t="str">
        <f xml:space="preserve"> REPT(" ",19-LEN(TEXT(EXI_beam_diff!T4,"0.000000E+00")))  &amp;   TEXT(EXI_beam_diff!T4,"0.000000E+00")</f>
        <v xml:space="preserve">       0.000000E+00</v>
      </c>
      <c r="U4" s="230" t="str">
        <f xml:space="preserve"> REPT(" ",19-LEN(TEXT(EXI_beam_diff!U4,"0.000000E+00")))  &amp;   TEXT(EXI_beam_diff!U4,"0.000000E+00")</f>
        <v xml:space="preserve">       0.000000E+00</v>
      </c>
      <c r="V4" s="230" t="str">
        <f xml:space="preserve"> REPT(" ",8-LEN(TEXT(EXI_beam_diff!V4,"0.0000")))  &amp;  TEXT(EXI_beam_diff!V4,"0.0000")</f>
        <v xml:space="preserve">  0.0000</v>
      </c>
    </row>
    <row r="5" spans="1:33">
      <c r="A5" s="230" t="str">
        <f>REPT(" ",5-LEN(TEXT(EXI_beam_diff!A5,"###"))) &amp; TEXT(EXI_beam_diff!A5,"###")</f>
        <v xml:space="preserve">     </v>
      </c>
      <c r="B5" s="230" t="str">
        <f xml:space="preserve"> REPT(" ",8-LEN(TEXT(EXI_beam_diff!B5,"0.0000")))  &amp;  TEXT(EXI_beam_diff!B5,"0.0000")</f>
        <v xml:space="preserve">  0.1473</v>
      </c>
      <c r="C5" s="230" t="str">
        <f xml:space="preserve"> REPT(" ",8-LEN(TEXT(EXI_beam_diff!C5,"0.0000")))  &amp;  TEXT(EXI_beam_diff!C5,"0.0000")</f>
        <v xml:space="preserve">  0.0000</v>
      </c>
      <c r="D5" s="230" t="str">
        <f xml:space="preserve"> REPT(" ",8-LEN(TEXT(EXI_beam_diff!D5,"0.0000")))  &amp;  TEXT(EXI_beam_diff!D5,"0.0000")</f>
        <v xml:space="preserve">  0.0000</v>
      </c>
      <c r="E5" s="230" t="str">
        <f xml:space="preserve"> REPT(" ",19-LEN(TEXT(EXI_beam_diff!E5,"0.000000E+00")))  &amp;   TEXT(EXI_beam_diff!E5,"0.000000E+00")</f>
        <v xml:space="preserve">       1.000000E+00</v>
      </c>
      <c r="F5" s="230" t="str">
        <f xml:space="preserve"> REPT(" ",8-LEN(TEXT(EXI_beam_diff!F5,"0.0000")))  &amp;  TEXT(EXI_beam_diff!F5,"0.0000")</f>
        <v xml:space="preserve">  0.0000</v>
      </c>
      <c r="G5" s="230" t="str">
        <f xml:space="preserve"> REPT(" ",8-LEN(TEXT(EXI_beam_diff!G5,"0.0000")))  &amp;  TEXT(EXI_beam_diff!G5,"0.0000")</f>
        <v xml:space="preserve">  0.0000</v>
      </c>
      <c r="H5" s="230" t="str">
        <f xml:space="preserve"> REPT(" ",19-LEN(TEXT(EXI_beam_diff!H5,"0.000000E+00")))  &amp;   TEXT(EXI_beam_diff!H5,"0.000000E+00")</f>
        <v xml:space="preserve">       1.000000E-01</v>
      </c>
      <c r="I5" s="230" t="str">
        <f xml:space="preserve"> REPT(" ",19-LEN(TEXT(EXI_beam_diff!I5,"0.000000E+00")))  &amp;   TEXT(EXI_beam_diff!I5,"0.000000E+00")</f>
        <v xml:space="preserve">       1.000000E-01</v>
      </c>
      <c r="J5" s="230" t="str">
        <f xml:space="preserve"> REPT(" ",19-LEN(TEXT(EXI_beam_diff!J5,"0.000000E+00")))  &amp;   TEXT(EXI_beam_diff!J5,"0.000000E+00")</f>
        <v xml:space="preserve">       0.000000E+00</v>
      </c>
      <c r="K5" s="230" t="str">
        <f xml:space="preserve"> REPT(" ",19-LEN(TEXT(EXI_beam_diff!K5,"0.000000E+00")))  &amp;   TEXT(EXI_beam_diff!K5,"0.000000E+00")</f>
        <v xml:space="preserve">       1.000000E+12</v>
      </c>
      <c r="L5" s="230" t="str">
        <f xml:space="preserve"> REPT(" ",19-LEN(TEXT(EXI_beam_diff!L5,"0.000000E+00")))  &amp;   TEXT(EXI_beam_diff!L5,"0.000000E+00")</f>
        <v xml:space="preserve">       0.000000E+00</v>
      </c>
      <c r="M5" s="230" t="str">
        <f xml:space="preserve"> REPT(" ",19-LEN(TEXT(EXI_beam_diff!M5,"0.000000E+00")))  &amp;   TEXT(EXI_beam_diff!M5,"0.000000E+00")</f>
        <v xml:space="preserve">       0.000000E+00</v>
      </c>
      <c r="N5" s="230" t="str">
        <f xml:space="preserve"> REPT(" ",19-LEN(TEXT(EXI_beam_diff!N5,"0.000000E+00")))  &amp;   TEXT(EXI_beam_diff!N5,"0.000000E+00")</f>
        <v xml:space="preserve">       1.000000E+10</v>
      </c>
      <c r="O5" s="230" t="str">
        <f xml:space="preserve"> REPT(" ",19-LEN(TEXT(EXI_beam_diff!O5,"0.000000E+00")))  &amp;   TEXT(EXI_beam_diff!O5,"0.000000E+00")</f>
        <v xml:space="preserve">       1.000000E+10</v>
      </c>
      <c r="P5" s="230" t="str">
        <f xml:space="preserve"> REPT(" ",19-LEN(TEXT(EXI_beam_diff!P5,"0.000000E+00")))  &amp;   TEXT(EXI_beam_diff!P5,"0.000000E+00")</f>
        <v xml:space="preserve">       0.000000E+00</v>
      </c>
      <c r="Q5" s="230" t="str">
        <f xml:space="preserve"> REPT(" ",19-LEN(TEXT(EXI_beam_diff!Q5,"0.000000E+00")))  &amp;   TEXT(EXI_beam_diff!Q5,"0.000000E+00")</f>
        <v xml:space="preserve">       1.000000E+09</v>
      </c>
      <c r="R5" s="230" t="str">
        <f xml:space="preserve"> REPT(" ",19-LEN(TEXT(EXI_beam_diff!R5,"0.000000E+00")))  &amp;   TEXT(EXI_beam_diff!R5,"0.000000E+00")</f>
        <v xml:space="preserve">       1.000000E+14</v>
      </c>
      <c r="S5" s="230" t="str">
        <f xml:space="preserve"> REPT(" ",19-LEN(TEXT(EXI_beam_diff!S5,"0.000000E+00")))  &amp;   TEXT(EXI_beam_diff!S5,"0.000000E+00")</f>
        <v xml:space="preserve">       1.000000E+14</v>
      </c>
      <c r="T5" s="230" t="str">
        <f xml:space="preserve"> REPT(" ",19-LEN(TEXT(EXI_beam_diff!T5,"0.000000E+00")))  &amp;   TEXT(EXI_beam_diff!T5,"0.000000E+00")</f>
        <v xml:space="preserve">       0.000000E+00</v>
      </c>
      <c r="U5" s="230" t="str">
        <f xml:space="preserve"> REPT(" ",19-LEN(TEXT(EXI_beam_diff!U5,"0.000000E+00")))  &amp;   TEXT(EXI_beam_diff!U5,"0.000000E+00")</f>
        <v xml:space="preserve">       0.000000E+00</v>
      </c>
      <c r="V5" s="230" t="str">
        <f xml:space="preserve"> REPT(" ",8-LEN(TEXT(EXI_beam_diff!V5,"0.0000")))  &amp;  TEXT(EXI_beam_diff!V5,"0.0000")</f>
        <v xml:space="preserve">  0.1473</v>
      </c>
    </row>
    <row r="6" spans="1:33">
      <c r="A6" s="230" t="str">
        <f>REPT(" ",5-LEN(TEXT(EXI_beam_diff!A6,"###"))) &amp; TEXT(EXI_beam_diff!A6,"###")</f>
        <v xml:space="preserve">    2</v>
      </c>
      <c r="B6" s="230" t="str">
        <f xml:space="preserve"> REPT(" ",8-LEN(TEXT(EXI_beam_diff!B6,"0.0000")))  &amp;  TEXT(EXI_beam_diff!B6,"0.0000")</f>
        <v xml:space="preserve">  0.1473</v>
      </c>
      <c r="C6" s="230" t="str">
        <f xml:space="preserve"> REPT(" ",8-LEN(TEXT(EXI_beam_diff!C6,"0.0000")))  &amp;  TEXT(EXI_beam_diff!C6,"0.0000")</f>
        <v xml:space="preserve">  0.0000</v>
      </c>
      <c r="D6" s="230" t="str">
        <f xml:space="preserve"> REPT(" ",8-LEN(TEXT(EXI_beam_diff!D6,"0.0000")))  &amp;  TEXT(EXI_beam_diff!D6,"0.0000")</f>
        <v xml:space="preserve">  0.0000</v>
      </c>
      <c r="E6" s="230" t="str">
        <f xml:space="preserve"> REPT(" ",19-LEN(TEXT(EXI_beam_diff!E6,"0.000000E+00")))  &amp;   TEXT(EXI_beam_diff!E6,"0.000000E+00")</f>
        <v xml:space="preserve">       2.054638E+00</v>
      </c>
      <c r="F6" s="230" t="str">
        <f xml:space="preserve"> REPT(" ",8-LEN(TEXT(EXI_beam_diff!F6,"0.0000")))  &amp;  TEXT(EXI_beam_diff!F6,"0.0000")</f>
        <v xml:space="preserve">  0.0323</v>
      </c>
      <c r="G6" s="230" t="str">
        <f xml:space="preserve"> REPT(" ",8-LEN(TEXT(EXI_beam_diff!G6,"0.0000")))  &amp;  TEXT(EXI_beam_diff!G6,"0.0000")</f>
        <v xml:space="preserve">  0.0040</v>
      </c>
      <c r="H6" s="230" t="str">
        <f xml:space="preserve"> REPT(" ",19-LEN(TEXT(EXI_beam_diff!H6,"0.000000E+00")))  &amp;   TEXT(EXI_beam_diff!H6,"0.000000E+00")</f>
        <v xml:space="preserve">       9.398110E-05</v>
      </c>
      <c r="I6" s="230" t="str">
        <f xml:space="preserve"> REPT(" ",19-LEN(TEXT(EXI_beam_diff!I6,"0.000000E+00")))  &amp;   TEXT(EXI_beam_diff!I6,"0.000000E+00")</f>
        <v xml:space="preserve">       6.137523E-03</v>
      </c>
      <c r="J6" s="230" t="str">
        <f xml:space="preserve"> REPT(" ",19-LEN(TEXT(EXI_beam_diff!J6,"0.000000E+00")))  &amp;   TEXT(EXI_beam_diff!J6,"0.000000E+00")</f>
        <v xml:space="preserve">      -5.410591E-04</v>
      </c>
      <c r="K6" s="230" t="str">
        <f xml:space="preserve"> REPT(" ",19-LEN(TEXT(EXI_beam_diff!K6,"0.000000E+00")))  &amp;   TEXT(EXI_beam_diff!K6,"0.000000E+00")</f>
        <v xml:space="preserve">       5.782688E+07</v>
      </c>
      <c r="L6" s="230" t="str">
        <f xml:space="preserve"> REPT(" ",19-LEN(TEXT(EXI_beam_diff!L6,"0.000000E+00")))  &amp;   TEXT(EXI_beam_diff!L6,"0.000000E+00")</f>
        <v xml:space="preserve">      -2.937606E+03</v>
      </c>
      <c r="M6" s="230" t="str">
        <f xml:space="preserve"> REPT(" ",19-LEN(TEXT(EXI_beam_diff!M6,"0.000000E+00")))  &amp;   TEXT(EXI_beam_diff!M6,"0.000000E+00")</f>
        <v xml:space="preserve">      -1.468803E+03</v>
      </c>
      <c r="N6" s="230" t="str">
        <f xml:space="preserve"> REPT(" ",19-LEN(TEXT(EXI_beam_diff!N6,"0.000000E+00")))  &amp;   TEXT(EXI_beam_diff!N6,"0.000000E+00")</f>
        <v xml:space="preserve">       1.198274E+03</v>
      </c>
      <c r="O6" s="230" t="str">
        <f xml:space="preserve"> REPT(" ",19-LEN(TEXT(EXI_beam_diff!O6,"0.000000E+00")))  &amp;   TEXT(EXI_beam_diff!O6,"0.000000E+00")</f>
        <v xml:space="preserve">       1.992047E+04</v>
      </c>
      <c r="P6" s="230" t="str">
        <f xml:space="preserve"> REPT(" ",19-LEN(TEXT(EXI_beam_diff!P6,"0.000000E+00")))  &amp;   TEXT(EXI_beam_diff!P6,"0.000000E+00")</f>
        <v xml:space="preserve">      -2.656360E+03</v>
      </c>
      <c r="Q6" s="230" t="str">
        <f xml:space="preserve"> REPT(" ",19-LEN(TEXT(EXI_beam_diff!Q6,"0.000000E+00")))  &amp;   TEXT(EXI_beam_diff!Q6,"0.000000E+00")</f>
        <v xml:space="preserve">       7.863292E+02</v>
      </c>
      <c r="R6" s="230" t="str">
        <f xml:space="preserve"> REPT(" ",19-LEN(TEXT(EXI_beam_diff!R6,"0.000000E+00")))  &amp;   TEXT(EXI_beam_diff!R6,"0.000000E+00")</f>
        <v xml:space="preserve">       1.815666E+06</v>
      </c>
      <c r="S6" s="230" t="str">
        <f xml:space="preserve"> REPT(" ",19-LEN(TEXT(EXI_beam_diff!S6,"0.000000E+00")))  &amp;   TEXT(EXI_beam_diff!S6,"0.000000E+00")</f>
        <v xml:space="preserve">       1.614990E+06</v>
      </c>
      <c r="T6" s="230" t="str">
        <f xml:space="preserve"> REPT(" ",19-LEN(TEXT(EXI_beam_diff!T6,"0.000000E+00")))  &amp;   TEXT(EXI_beam_diff!T6,"0.000000E+00")</f>
        <v xml:space="preserve">       6.486765E+02</v>
      </c>
      <c r="U6" s="230" t="str">
        <f xml:space="preserve"> REPT(" ",19-LEN(TEXT(EXI_beam_diff!U6,"0.000000E+00")))  &amp;   TEXT(EXI_beam_diff!U6,"0.000000E+00")</f>
        <v xml:space="preserve">       5.218637E+03</v>
      </c>
      <c r="V6" s="230" t="str">
        <f xml:space="preserve"> REPT(" ",8-LEN(TEXT(EXI_beam_diff!V6,"0.0000")))  &amp;  TEXT(EXI_beam_diff!V6,"0.0000")</f>
        <v xml:space="preserve">  0.1473</v>
      </c>
    </row>
    <row r="7" spans="1:33">
      <c r="A7" s="230" t="str">
        <f>REPT(" ",5-LEN(TEXT(EXI_beam_diff!A7,"###"))) &amp; TEXT(EXI_beam_diff!A7,"###")</f>
        <v xml:space="preserve">     </v>
      </c>
      <c r="B7" s="230" t="str">
        <f xml:space="preserve"> REPT(" ",8-LEN(TEXT(EXI_beam_diff!B7,"0.0000")))  &amp;  TEXT(EXI_beam_diff!B7,"0.0000")</f>
        <v xml:space="preserve">  0.2470</v>
      </c>
      <c r="C7" s="230" t="str">
        <f xml:space="preserve"> REPT(" ",8-LEN(TEXT(EXI_beam_diff!C7,"0.0000")))  &amp;  TEXT(EXI_beam_diff!C7,"0.0000")</f>
        <v xml:space="preserve">  0.0000</v>
      </c>
      <c r="D7" s="230" t="str">
        <f xml:space="preserve"> REPT(" ",8-LEN(TEXT(EXI_beam_diff!D7,"0.0000")))  &amp;  TEXT(EXI_beam_diff!D7,"0.0000")</f>
        <v xml:space="preserve">  0.0000</v>
      </c>
      <c r="E7" s="230" t="str">
        <f xml:space="preserve"> REPT(" ",19-LEN(TEXT(EXI_beam_diff!E7,"0.000000E+00")))  &amp;   TEXT(EXI_beam_diff!E7,"0.000000E+00")</f>
        <v xml:space="preserve">       1.747504E+00</v>
      </c>
      <c r="F7" s="230" t="str">
        <f xml:space="preserve"> REPT(" ",8-LEN(TEXT(EXI_beam_diff!F7,"0.0000")))  &amp;  TEXT(EXI_beam_diff!F7,"0.0000")</f>
        <v xml:space="preserve">  0.0138</v>
      </c>
      <c r="G7" s="230" t="str">
        <f xml:space="preserve"> REPT(" ",8-LEN(TEXT(EXI_beam_diff!G7,"0.0000")))  &amp;  TEXT(EXI_beam_diff!G7,"0.0000")</f>
        <v xml:space="preserve">  0.0021</v>
      </c>
      <c r="H7" s="230" t="str">
        <f xml:space="preserve"> REPT(" ",19-LEN(TEXT(EXI_beam_diff!H7,"0.000000E+00")))  &amp;   TEXT(EXI_beam_diff!H7,"0.000000E+00")</f>
        <v xml:space="preserve">       7.242407E-05</v>
      </c>
      <c r="I7" s="230" t="str">
        <f xml:space="preserve"> REPT(" ",19-LEN(TEXT(EXI_beam_diff!I7,"0.000000E+00")))  &amp;   TEXT(EXI_beam_diff!I7,"0.000000E+00")</f>
        <v xml:space="preserve">       3.571929E-03</v>
      </c>
      <c r="J7" s="230" t="str">
        <f xml:space="preserve"> REPT(" ",19-LEN(TEXT(EXI_beam_diff!J7,"0.000000E+00")))  &amp;   TEXT(EXI_beam_diff!J7,"0.000000E+00")</f>
        <v xml:space="preserve">      -3.525932E-04</v>
      </c>
      <c r="K7" s="230" t="str">
        <f xml:space="preserve"> REPT(" ",19-LEN(TEXT(EXI_beam_diff!K7,"0.000000E+00")))  &amp;   TEXT(EXI_beam_diff!K7,"0.000000E+00")</f>
        <v xml:space="preserve">       4.373062E+07</v>
      </c>
      <c r="L7" s="230" t="str">
        <f xml:space="preserve"> REPT(" ",19-LEN(TEXT(EXI_beam_diff!L7,"0.000000E+00")))  &amp;   TEXT(EXI_beam_diff!L7,"0.000000E+00")</f>
        <v xml:space="preserve">       1.752575E+04</v>
      </c>
      <c r="M7" s="230" t="str">
        <f xml:space="preserve"> REPT(" ",19-LEN(TEXT(EXI_beam_diff!M7,"0.000000E+00")))  &amp;   TEXT(EXI_beam_diff!M7,"0.000000E+00")</f>
        <v xml:space="preserve">      -2.508959E+04</v>
      </c>
      <c r="N7" s="230" t="str">
        <f xml:space="preserve"> REPT(" ",19-LEN(TEXT(EXI_beam_diff!N7,"0.000000E+00")))  &amp;   TEXT(EXI_beam_diff!N7,"0.000000E+00")</f>
        <v xml:space="preserve">       1.160336E+03</v>
      </c>
      <c r="O7" s="230" t="str">
        <f xml:space="preserve"> REPT(" ",19-LEN(TEXT(EXI_beam_diff!O7,"0.000000E+00")))  &amp;   TEXT(EXI_beam_diff!O7,"0.000000E+00")</f>
        <v xml:space="preserve">       1.594699E+04</v>
      </c>
      <c r="P7" s="230" t="str">
        <f xml:space="preserve"> REPT(" ",19-LEN(TEXT(EXI_beam_diff!P7,"0.000000E+00")))  &amp;   TEXT(EXI_beam_diff!P7,"0.000000E+00")</f>
        <v xml:space="preserve">      -2.082290E+03</v>
      </c>
      <c r="Q7" s="230" t="str">
        <f xml:space="preserve"> REPT(" ",19-LEN(TEXT(EXI_beam_diff!Q7,"0.000000E+00")))  &amp;   TEXT(EXI_beam_diff!Q7,"0.000000E+00")</f>
        <v xml:space="preserve">       7.248372E+02</v>
      </c>
      <c r="R7" s="230" t="str">
        <f xml:space="preserve"> REPT(" ",19-LEN(TEXT(EXI_beam_diff!R7,"0.000000E+00")))  &amp;   TEXT(EXI_beam_diff!R7,"0.000000E+00")</f>
        <v xml:space="preserve">       1.571104E+06</v>
      </c>
      <c r="S7" s="230" t="str">
        <f xml:space="preserve"> REPT(" ",19-LEN(TEXT(EXI_beam_diff!S7,"0.000000E+00")))  &amp;   TEXT(EXI_beam_diff!S7,"0.000000E+00")</f>
        <v xml:space="preserve">       1.396792E+06</v>
      </c>
      <c r="T7" s="230" t="str">
        <f xml:space="preserve"> REPT(" ",19-LEN(TEXT(EXI_beam_diff!T7,"0.000000E+00")))  &amp;   TEXT(EXI_beam_diff!T7,"0.000000E+00")</f>
        <v xml:space="preserve">       1.350303E+03</v>
      </c>
      <c r="U7" s="230" t="str">
        <f xml:space="preserve"> REPT(" ",19-LEN(TEXT(EXI_beam_diff!U7,"0.000000E+00")))  &amp;   TEXT(EXI_beam_diff!U7,"0.000000E+00")</f>
        <v xml:space="preserve">       2.256507E+03</v>
      </c>
      <c r="V7" s="230" t="str">
        <f xml:space="preserve"> REPT(" ",8-LEN(TEXT(EXI_beam_diff!V7,"0.0000")))  &amp;  TEXT(EXI_beam_diff!V7,"0.0000")</f>
        <v xml:space="preserve">  0.2470</v>
      </c>
    </row>
    <row r="8" spans="1:33">
      <c r="A8" s="230" t="str">
        <f>REPT(" ",5-LEN(TEXT(EXI_beam_diff!A8,"###"))) &amp; TEXT(EXI_beam_diff!A8,"###")</f>
        <v xml:space="preserve">    3</v>
      </c>
      <c r="B8" s="230" t="str">
        <f xml:space="preserve"> REPT(" ",8-LEN(TEXT(EXI_beam_diff!B8,"0.0000")))  &amp;  TEXT(EXI_beam_diff!B8,"0.0000")</f>
        <v xml:space="preserve">  0.2470</v>
      </c>
      <c r="C8" s="230" t="str">
        <f xml:space="preserve"> REPT(" ",8-LEN(TEXT(EXI_beam_diff!C8,"0.0000")))  &amp;  TEXT(EXI_beam_diff!C8,"0.0000")</f>
        <v xml:space="preserve">  0.0000</v>
      </c>
      <c r="D8" s="230" t="str">
        <f xml:space="preserve"> REPT(" ",8-LEN(TEXT(EXI_beam_diff!D8,"0.0000")))  &amp;  TEXT(EXI_beam_diff!D8,"0.0000")</f>
        <v xml:space="preserve">  0.0000</v>
      </c>
      <c r="E8" s="230" t="str">
        <f xml:space="preserve"> REPT(" ",19-LEN(TEXT(EXI_beam_diff!E8,"0.000000E+00")))  &amp;   TEXT(EXI_beam_diff!E8,"0.000000E+00")</f>
        <v xml:space="preserve">       1.747504E+00</v>
      </c>
      <c r="F8" s="230" t="str">
        <f xml:space="preserve"> REPT(" ",8-LEN(TEXT(EXI_beam_diff!F8,"0.0000")))  &amp;  TEXT(EXI_beam_diff!F8,"0.0000")</f>
        <v xml:space="preserve">  0.0138</v>
      </c>
      <c r="G8" s="230" t="str">
        <f xml:space="preserve"> REPT(" ",8-LEN(TEXT(EXI_beam_diff!G8,"0.0000")))  &amp;  TEXT(EXI_beam_diff!G8,"0.0000")</f>
        <v xml:space="preserve">  0.0021</v>
      </c>
      <c r="H8" s="230" t="str">
        <f xml:space="preserve"> REPT(" ",19-LEN(TEXT(EXI_beam_diff!H8,"0.000000E+00")))  &amp;   TEXT(EXI_beam_diff!H8,"0.000000E+00")</f>
        <v xml:space="preserve">       7.242407E-05</v>
      </c>
      <c r="I8" s="230" t="str">
        <f xml:space="preserve"> REPT(" ",19-LEN(TEXT(EXI_beam_diff!I8,"0.000000E+00")))  &amp;   TEXT(EXI_beam_diff!I8,"0.000000E+00")</f>
        <v xml:space="preserve">       3.571929E-03</v>
      </c>
      <c r="J8" s="230" t="str">
        <f xml:space="preserve"> REPT(" ",19-LEN(TEXT(EXI_beam_diff!J8,"0.000000E+00")))  &amp;   TEXT(EXI_beam_diff!J8,"0.000000E+00")</f>
        <v xml:space="preserve">      -3.525932E-04</v>
      </c>
      <c r="K8" s="230" t="str">
        <f xml:space="preserve"> REPT(" ",19-LEN(TEXT(EXI_beam_diff!K8,"0.000000E+00")))  &amp;   TEXT(EXI_beam_diff!K8,"0.000000E+00")</f>
        <v xml:space="preserve">       4.373062E+07</v>
      </c>
      <c r="L8" s="230" t="str">
        <f xml:space="preserve"> REPT(" ",19-LEN(TEXT(EXI_beam_diff!L8,"0.000000E+00")))  &amp;   TEXT(EXI_beam_diff!L8,"0.000000E+00")</f>
        <v xml:space="preserve">       1.752575E+04</v>
      </c>
      <c r="M8" s="230" t="str">
        <f xml:space="preserve"> REPT(" ",19-LEN(TEXT(EXI_beam_diff!M8,"0.000000E+00")))  &amp;   TEXT(EXI_beam_diff!M8,"0.000000E+00")</f>
        <v xml:space="preserve">      -2.508959E+04</v>
      </c>
      <c r="N8" s="230" t="str">
        <f xml:space="preserve"> REPT(" ",19-LEN(TEXT(EXI_beam_diff!N8,"0.000000E+00")))  &amp;   TEXT(EXI_beam_diff!N8,"0.000000E+00")</f>
        <v xml:space="preserve">       1.160336E+03</v>
      </c>
      <c r="O8" s="230" t="str">
        <f xml:space="preserve"> REPT(" ",19-LEN(TEXT(EXI_beam_diff!O8,"0.000000E+00")))  &amp;   TEXT(EXI_beam_diff!O8,"0.000000E+00")</f>
        <v xml:space="preserve">       1.594699E+04</v>
      </c>
      <c r="P8" s="230" t="str">
        <f xml:space="preserve"> REPT(" ",19-LEN(TEXT(EXI_beam_diff!P8,"0.000000E+00")))  &amp;   TEXT(EXI_beam_diff!P8,"0.000000E+00")</f>
        <v xml:space="preserve">      -2.082290E+03</v>
      </c>
      <c r="Q8" s="230" t="str">
        <f xml:space="preserve"> REPT(" ",19-LEN(TEXT(EXI_beam_diff!Q8,"0.000000E+00")))  &amp;   TEXT(EXI_beam_diff!Q8,"0.000000E+00")</f>
        <v xml:space="preserve">       7.248372E+02</v>
      </c>
      <c r="R8" s="230" t="str">
        <f xml:space="preserve"> REPT(" ",19-LEN(TEXT(EXI_beam_diff!R8,"0.000000E+00")))  &amp;   TEXT(EXI_beam_diff!R8,"0.000000E+00")</f>
        <v xml:space="preserve">       1.571104E+06</v>
      </c>
      <c r="S8" s="230" t="str">
        <f xml:space="preserve"> REPT(" ",19-LEN(TEXT(EXI_beam_diff!S8,"0.000000E+00")))  &amp;   TEXT(EXI_beam_diff!S8,"0.000000E+00")</f>
        <v xml:space="preserve">       1.396792E+06</v>
      </c>
      <c r="T8" s="230" t="str">
        <f xml:space="preserve"> REPT(" ",19-LEN(TEXT(EXI_beam_diff!T8,"0.000000E+00")))  &amp;   TEXT(EXI_beam_diff!T8,"0.000000E+00")</f>
        <v xml:space="preserve">       1.350303E+03</v>
      </c>
      <c r="U8" s="230" t="str">
        <f xml:space="preserve"> REPT(" ",19-LEN(TEXT(EXI_beam_diff!U8,"0.000000E+00")))  &amp;   TEXT(EXI_beam_diff!U8,"0.000000E+00")</f>
        <v xml:space="preserve">       2.256507E+03</v>
      </c>
      <c r="V8" s="230" t="str">
        <f xml:space="preserve"> REPT(" ",8-LEN(TEXT(EXI_beam_diff!V8,"0.0000")))  &amp;  TEXT(EXI_beam_diff!V8,"0.0000")</f>
        <v xml:space="preserve">  0.2470</v>
      </c>
    </row>
    <row r="9" spans="1:33">
      <c r="A9" s="230" t="str">
        <f>REPT(" ",5-LEN(TEXT(EXI_beam_diff!A9,"###"))) &amp; TEXT(EXI_beam_diff!A9,"###")</f>
        <v xml:space="preserve">     </v>
      </c>
      <c r="B9" s="230" t="str">
        <f xml:space="preserve"> REPT(" ",8-LEN(TEXT(EXI_beam_diff!B9,"0.0000")))  &amp;  TEXT(EXI_beam_diff!B9,"0.0000")</f>
        <v xml:space="preserve">  0.3319</v>
      </c>
      <c r="C9" s="230" t="str">
        <f xml:space="preserve"> REPT(" ",8-LEN(TEXT(EXI_beam_diff!C9,"0.0000")))  &amp;  TEXT(EXI_beam_diff!C9,"0.0000")</f>
        <v xml:space="preserve">  0.0000</v>
      </c>
      <c r="D9" s="230" t="str">
        <f xml:space="preserve"> REPT(" ",8-LEN(TEXT(EXI_beam_diff!D9,"0.0000")))  &amp;  TEXT(EXI_beam_diff!D9,"0.0000")</f>
        <v xml:space="preserve">  0.0000</v>
      </c>
      <c r="E9" s="230" t="str">
        <f xml:space="preserve"> REPT(" ",19-LEN(TEXT(EXI_beam_diff!E9,"0.000000E+00")))  &amp;   TEXT(EXI_beam_diff!E9,"0.000000E+00")</f>
        <v xml:space="preserve">       1.427280E+00</v>
      </c>
      <c r="F9" s="230" t="str">
        <f xml:space="preserve"> REPT(" ",8-LEN(TEXT(EXI_beam_diff!F9,"0.0000")))  &amp;  TEXT(EXI_beam_diff!F9,"0.0000")</f>
        <v xml:space="preserve"> -0.0014</v>
      </c>
      <c r="G9" s="230" t="str">
        <f xml:space="preserve"> REPT(" ",8-LEN(TEXT(EXI_beam_diff!G9,"0.0000")))  &amp;  TEXT(EXI_beam_diff!G9,"0.0000")</f>
        <v xml:space="preserve">  0.0012</v>
      </c>
      <c r="H9" s="230" t="str">
        <f xml:space="preserve"> REPT(" ",19-LEN(TEXT(EXI_beam_diff!H9,"0.000000E+00")))  &amp;   TEXT(EXI_beam_diff!H9,"0.000000E+00")</f>
        <v xml:space="preserve">       6.083252E-05</v>
      </c>
      <c r="I9" s="230" t="str">
        <f xml:space="preserve"> REPT(" ",19-LEN(TEXT(EXI_beam_diff!I9,"0.000000E+00")))  &amp;   TEXT(EXI_beam_diff!I9,"0.000000E+00")</f>
        <v xml:space="preserve">       1.477776E-03</v>
      </c>
      <c r="J9" s="230" t="str">
        <f xml:space="preserve"> REPT(" ",19-LEN(TEXT(EXI_beam_diff!J9,"0.000000E+00")))  &amp;   TEXT(EXI_beam_diff!J9,"0.000000E+00")</f>
        <v xml:space="preserve">      -2.062386E-04</v>
      </c>
      <c r="K9" s="230" t="str">
        <f xml:space="preserve"> REPT(" ",19-LEN(TEXT(EXI_beam_diff!K9,"0.000000E+00")))  &amp;   TEXT(EXI_beam_diff!K9,"0.000000E+00")</f>
        <v xml:space="preserve">       2.831480E+07</v>
      </c>
      <c r="L9" s="230" t="str">
        <f xml:space="preserve"> REPT(" ",19-LEN(TEXT(EXI_beam_diff!L9,"0.000000E+00")))  &amp;   TEXT(EXI_beam_diff!L9,"0.000000E+00")</f>
        <v xml:space="preserve">       5.363674E+04</v>
      </c>
      <c r="M9" s="230" t="str">
        <f xml:space="preserve"> REPT(" ",19-LEN(TEXT(EXI_beam_diff!M9,"0.000000E+00")))  &amp;   TEXT(EXI_beam_diff!M9,"0.000000E+00")</f>
        <v xml:space="preserve">      -3.674375E+04</v>
      </c>
      <c r="N9" s="230" t="str">
        <f xml:space="preserve"> REPT(" ",19-LEN(TEXT(EXI_beam_diff!N9,"0.000000E+00")))  &amp;   TEXT(EXI_beam_diff!N9,"0.000000E+00")</f>
        <v xml:space="preserve">       1.285946E+03</v>
      </c>
      <c r="O9" s="230" t="str">
        <f xml:space="preserve"> REPT(" ",19-LEN(TEXT(EXI_beam_diff!O9,"0.000000E+00")))  &amp;   TEXT(EXI_beam_diff!O9,"0.000000E+00")</f>
        <v xml:space="preserve">       1.152853E+04</v>
      </c>
      <c r="P9" s="230" t="str">
        <f xml:space="preserve"> REPT(" ",19-LEN(TEXT(EXI_beam_diff!P9,"0.000000E+00")))  &amp;   TEXT(EXI_beam_diff!P9,"0.000000E+00")</f>
        <v xml:space="preserve">      -1.520087E+03</v>
      </c>
      <c r="Q9" s="230" t="str">
        <f xml:space="preserve"> REPT(" ",19-LEN(TEXT(EXI_beam_diff!Q9,"0.000000E+00")))  &amp;   TEXT(EXI_beam_diff!Q9,"0.000000E+00")</f>
        <v xml:space="preserve">       6.190432E+02</v>
      </c>
      <c r="R9" s="230" t="str">
        <f xml:space="preserve"> REPT(" ",19-LEN(TEXT(EXI_beam_diff!R9,"0.000000E+00")))  &amp;   TEXT(EXI_beam_diff!R9,"0.000000E+00")</f>
        <v xml:space="preserve">       1.189461E+06</v>
      </c>
      <c r="S9" s="230" t="str">
        <f xml:space="preserve"> REPT(" ",19-LEN(TEXT(EXI_beam_diff!S9,"0.000000E+00")))  &amp;   TEXT(EXI_beam_diff!S9,"0.000000E+00")</f>
        <v xml:space="preserve">       1.056638E+06</v>
      </c>
      <c r="T9" s="230" t="str">
        <f xml:space="preserve"> REPT(" ",19-LEN(TEXT(EXI_beam_diff!T9,"0.000000E+00")))  &amp;   TEXT(EXI_beam_diff!T9,"0.000000E+00")</f>
        <v xml:space="preserve">       3.237495E+03</v>
      </c>
      <c r="U9" s="230" t="str">
        <f xml:space="preserve"> REPT(" ",19-LEN(TEXT(EXI_beam_diff!U9,"0.000000E+00")))  &amp;   TEXT(EXI_beam_diff!U9,"0.000000E+00")</f>
        <v xml:space="preserve">       7.971833E+02</v>
      </c>
      <c r="V9" s="230" t="str">
        <f xml:space="preserve"> REPT(" ",8-LEN(TEXT(EXI_beam_diff!V9,"0.0000")))  &amp;  TEXT(EXI_beam_diff!V9,"0.0000")</f>
        <v xml:space="preserve">  0.3319</v>
      </c>
    </row>
    <row r="10" spans="1:33">
      <c r="A10" s="230" t="str">
        <f>REPT(" ",5-LEN(TEXT(EXI_beam_diff!A10,"###"))) &amp; TEXT(EXI_beam_diff!A10,"###")</f>
        <v xml:space="preserve">    4</v>
      </c>
      <c r="B10" s="230" t="str">
        <f xml:space="preserve"> REPT(" ",8-LEN(TEXT(EXI_beam_diff!B10,"0.0000")))  &amp;  TEXT(EXI_beam_diff!B10,"0.0000")</f>
        <v xml:space="preserve">  0.3319</v>
      </c>
      <c r="C10" s="230" t="str">
        <f xml:space="preserve"> REPT(" ",8-LEN(TEXT(EXI_beam_diff!C10,"0.0000")))  &amp;  TEXT(EXI_beam_diff!C10,"0.0000")</f>
        <v xml:space="preserve">  0.0000</v>
      </c>
      <c r="D10" s="230" t="str">
        <f xml:space="preserve"> REPT(" ",8-LEN(TEXT(EXI_beam_diff!D10,"0.0000")))  &amp;  TEXT(EXI_beam_diff!D10,"0.0000")</f>
        <v xml:space="preserve">  0.0000</v>
      </c>
      <c r="E10" s="230" t="str">
        <f xml:space="preserve"> REPT(" ",19-LEN(TEXT(EXI_beam_diff!E10,"0.000000E+00")))  &amp;   TEXT(EXI_beam_diff!E10,"0.000000E+00")</f>
        <v xml:space="preserve">       1.427280E+00</v>
      </c>
      <c r="F10" s="230" t="str">
        <f xml:space="preserve"> REPT(" ",8-LEN(TEXT(EXI_beam_diff!F10,"0.0000")))  &amp;  TEXT(EXI_beam_diff!F10,"0.0000")</f>
        <v xml:space="preserve"> -0.0014</v>
      </c>
      <c r="G10" s="230" t="str">
        <f xml:space="preserve"> REPT(" ",8-LEN(TEXT(EXI_beam_diff!G10,"0.0000")))  &amp;  TEXT(EXI_beam_diff!G10,"0.0000")</f>
        <v xml:space="preserve">  0.0012</v>
      </c>
      <c r="H10" s="230" t="str">
        <f xml:space="preserve"> REPT(" ",19-LEN(TEXT(EXI_beam_diff!H10,"0.000000E+00")))  &amp;   TEXT(EXI_beam_diff!H10,"0.000000E+00")</f>
        <v xml:space="preserve">       6.083252E-05</v>
      </c>
      <c r="I10" s="230" t="str">
        <f xml:space="preserve"> REPT(" ",19-LEN(TEXT(EXI_beam_diff!I10,"0.000000E+00")))  &amp;   TEXT(EXI_beam_diff!I10,"0.000000E+00")</f>
        <v xml:space="preserve">       1.477776E-03</v>
      </c>
      <c r="J10" s="230" t="str">
        <f xml:space="preserve"> REPT(" ",19-LEN(TEXT(EXI_beam_diff!J10,"0.000000E+00")))  &amp;   TEXT(EXI_beam_diff!J10,"0.000000E+00")</f>
        <v xml:space="preserve">      -2.062386E-04</v>
      </c>
      <c r="K10" s="230" t="str">
        <f xml:space="preserve"> REPT(" ",19-LEN(TEXT(EXI_beam_diff!K10,"0.000000E+00")))  &amp;   TEXT(EXI_beam_diff!K10,"0.000000E+00")</f>
        <v xml:space="preserve">       2.831480E+07</v>
      </c>
      <c r="L10" s="230" t="str">
        <f xml:space="preserve"> REPT(" ",19-LEN(TEXT(EXI_beam_diff!L10,"0.000000E+00")))  &amp;   TEXT(EXI_beam_diff!L10,"0.000000E+00")</f>
        <v xml:space="preserve">       5.363674E+04</v>
      </c>
      <c r="M10" s="230" t="str">
        <f xml:space="preserve"> REPT(" ",19-LEN(TEXT(EXI_beam_diff!M10,"0.000000E+00")))  &amp;   TEXT(EXI_beam_diff!M10,"0.000000E+00")</f>
        <v xml:space="preserve">      -3.674375E+04</v>
      </c>
      <c r="N10" s="230" t="str">
        <f xml:space="preserve"> REPT(" ",19-LEN(TEXT(EXI_beam_diff!N10,"0.000000E+00")))  &amp;   TEXT(EXI_beam_diff!N10,"0.000000E+00")</f>
        <v xml:space="preserve">       1.285946E+03</v>
      </c>
      <c r="O10" s="230" t="str">
        <f xml:space="preserve"> REPT(" ",19-LEN(TEXT(EXI_beam_diff!O10,"0.000000E+00")))  &amp;   TEXT(EXI_beam_diff!O10,"0.000000E+00")</f>
        <v xml:space="preserve">       1.152853E+04</v>
      </c>
      <c r="P10" s="230" t="str">
        <f xml:space="preserve"> REPT(" ",19-LEN(TEXT(EXI_beam_diff!P10,"0.000000E+00")))  &amp;   TEXT(EXI_beam_diff!P10,"0.000000E+00")</f>
        <v xml:space="preserve">      -1.520087E+03</v>
      </c>
      <c r="Q10" s="230" t="str">
        <f xml:space="preserve"> REPT(" ",19-LEN(TEXT(EXI_beam_diff!Q10,"0.000000E+00")))  &amp;   TEXT(EXI_beam_diff!Q10,"0.000000E+00")</f>
        <v xml:space="preserve">       6.190432E+02</v>
      </c>
      <c r="R10" s="230" t="str">
        <f xml:space="preserve"> REPT(" ",19-LEN(TEXT(EXI_beam_diff!R10,"0.000000E+00")))  &amp;   TEXT(EXI_beam_diff!R10,"0.000000E+00")</f>
        <v xml:space="preserve">       1.189461E+06</v>
      </c>
      <c r="S10" s="230" t="str">
        <f xml:space="preserve"> REPT(" ",19-LEN(TEXT(EXI_beam_diff!S10,"0.000000E+00")))  &amp;   TEXT(EXI_beam_diff!S10,"0.000000E+00")</f>
        <v xml:space="preserve">       1.056638E+06</v>
      </c>
      <c r="T10" s="230" t="str">
        <f xml:space="preserve"> REPT(" ",19-LEN(TEXT(EXI_beam_diff!T10,"0.000000E+00")))  &amp;   TEXT(EXI_beam_diff!T10,"0.000000E+00")</f>
        <v xml:space="preserve">       3.237495E+03</v>
      </c>
      <c r="U10" s="230" t="str">
        <f xml:space="preserve"> REPT(" ",19-LEN(TEXT(EXI_beam_diff!U10,"0.000000E+00")))  &amp;   TEXT(EXI_beam_diff!U10,"0.000000E+00")</f>
        <v xml:space="preserve">       7.971833E+02</v>
      </c>
      <c r="V10" s="230" t="str">
        <f xml:space="preserve"> REPT(" ",8-LEN(TEXT(EXI_beam_diff!V10,"0.0000")))  &amp;  TEXT(EXI_beam_diff!V10,"0.0000")</f>
        <v xml:space="preserve">  0.3319</v>
      </c>
    </row>
    <row r="11" spans="1:33">
      <c r="A11" s="230" t="str">
        <f>REPT(" ",5-LEN(TEXT(EXI_beam_diff!A11,"###"))) &amp; TEXT(EXI_beam_diff!A11,"###")</f>
        <v xml:space="preserve">     </v>
      </c>
      <c r="B11" s="230" t="str">
        <f xml:space="preserve"> REPT(" ",8-LEN(TEXT(EXI_beam_diff!B11,"0.0000")))  &amp;  TEXT(EXI_beam_diff!B11,"0.0000")</f>
        <v xml:space="preserve">  0.4157</v>
      </c>
      <c r="C11" s="230" t="str">
        <f xml:space="preserve"> REPT(" ",8-LEN(TEXT(EXI_beam_diff!C11,"0.0000")))  &amp;  TEXT(EXI_beam_diff!C11,"0.0000")</f>
        <v xml:space="preserve">  0.0000</v>
      </c>
      <c r="D11" s="230" t="str">
        <f xml:space="preserve"> REPT(" ",8-LEN(TEXT(EXI_beam_diff!D11,"0.0000")))  &amp;  TEXT(EXI_beam_diff!D11,"0.0000")</f>
        <v xml:space="preserve">  0.0000</v>
      </c>
      <c r="E11" s="230" t="str">
        <f xml:space="preserve"> REPT(" ",19-LEN(TEXT(EXI_beam_diff!E11,"0.000000E+00")))  &amp;   TEXT(EXI_beam_diff!E11,"0.000000E+00")</f>
        <v xml:space="preserve">       1.307414E+00</v>
      </c>
      <c r="F11" s="230" t="str">
        <f xml:space="preserve"> REPT(" ",8-LEN(TEXT(EXI_beam_diff!F11,"0.0000")))  &amp;  TEXT(EXI_beam_diff!F11,"0.0000")</f>
        <v xml:space="preserve">  0.0048</v>
      </c>
      <c r="G11" s="230" t="str">
        <f xml:space="preserve"> REPT(" ",8-LEN(TEXT(EXI_beam_diff!G11,"0.0000")))  &amp;  TEXT(EXI_beam_diff!G11,"0.0000")</f>
        <v xml:space="preserve">  0.0018</v>
      </c>
      <c r="H11" s="230" t="str">
        <f xml:space="preserve"> REPT(" ",19-LEN(TEXT(EXI_beam_diff!H11,"0.000000E+00")))  &amp;   TEXT(EXI_beam_diff!H11,"0.000000E+00")</f>
        <v xml:space="preserve">       5.321511E-05</v>
      </c>
      <c r="I11" s="230" t="str">
        <f xml:space="preserve"> REPT(" ",19-LEN(TEXT(EXI_beam_diff!I11,"0.000000E+00")))  &amp;   TEXT(EXI_beam_diff!I11,"0.000000E+00")</f>
        <v xml:space="preserve">       1.468983E-03</v>
      </c>
      <c r="J11" s="230" t="str">
        <f xml:space="preserve"> REPT(" ",19-LEN(TEXT(EXI_beam_diff!J11,"0.000000E+00")))  &amp;   TEXT(EXI_beam_diff!J11,"0.000000E+00")</f>
        <v xml:space="preserve">      -1.564831E-04</v>
      </c>
      <c r="K11" s="230" t="str">
        <f xml:space="preserve"> REPT(" ",19-LEN(TEXT(EXI_beam_diff!K11,"0.000000E+00")))  &amp;   TEXT(EXI_beam_diff!K11,"0.000000E+00")</f>
        <v xml:space="preserve">       2.779825E+07</v>
      </c>
      <c r="L11" s="230" t="str">
        <f xml:space="preserve"> REPT(" ",19-LEN(TEXT(EXI_beam_diff!L11,"0.000000E+00")))  &amp;   TEXT(EXI_beam_diff!L11,"0.000000E+00")</f>
        <v xml:space="preserve">       6.318628E+04</v>
      </c>
      <c r="M11" s="230" t="str">
        <f xml:space="preserve"> REPT(" ",19-LEN(TEXT(EXI_beam_diff!M11,"0.000000E+00")))  &amp;   TEXT(EXI_beam_diff!M11,"0.000000E+00")</f>
        <v xml:space="preserve">      -3.004487E+04</v>
      </c>
      <c r="N11" s="230" t="str">
        <f xml:space="preserve"> REPT(" ",19-LEN(TEXT(EXI_beam_diff!N11,"0.000000E+00")))  &amp;   TEXT(EXI_beam_diff!N11,"0.000000E+00")</f>
        <v xml:space="preserve">       1.216627E+03</v>
      </c>
      <c r="O11" s="230" t="str">
        <f xml:space="preserve"> REPT(" ",19-LEN(TEXT(EXI_beam_diff!O11,"0.000000E+00")))  &amp;   TEXT(EXI_beam_diff!O11,"0.000000E+00")</f>
        <v xml:space="preserve">       1.134167E+04</v>
      </c>
      <c r="P11" s="230" t="str">
        <f xml:space="preserve"> REPT(" ",19-LEN(TEXT(EXI_beam_diff!P11,"0.000000E+00")))  &amp;   TEXT(EXI_beam_diff!P11,"0.000000E+00")</f>
        <v xml:space="preserve">      -1.346480E+03</v>
      </c>
      <c r="Q11" s="230" t="str">
        <f xml:space="preserve"> REPT(" ",19-LEN(TEXT(EXI_beam_diff!Q11,"0.000000E+00")))  &amp;   TEXT(EXI_beam_diff!Q11,"0.000000E+00")</f>
        <v xml:space="preserve">       5.700823E+02</v>
      </c>
      <c r="R11" s="230" t="str">
        <f xml:space="preserve"> REPT(" ",19-LEN(TEXT(EXI_beam_diff!R11,"0.000000E+00")))  &amp;   TEXT(EXI_beam_diff!R11,"0.000000E+00")</f>
        <v xml:space="preserve">       1.096685E+06</v>
      </c>
      <c r="S11" s="230" t="str">
        <f xml:space="preserve"> REPT(" ",19-LEN(TEXT(EXI_beam_diff!S11,"0.000000E+00")))  &amp;   TEXT(EXI_beam_diff!S11,"0.000000E+00")</f>
        <v xml:space="preserve">       9.736779E+05</v>
      </c>
      <c r="T11" s="230" t="str">
        <f xml:space="preserve"> REPT(" ",19-LEN(TEXT(EXI_beam_diff!T11,"0.000000E+00")))  &amp;   TEXT(EXI_beam_diff!T11,"0.000000E+00")</f>
        <v xml:space="preserve">       3.315977E+03</v>
      </c>
      <c r="U11" s="230" t="str">
        <f xml:space="preserve"> REPT(" ",19-LEN(TEXT(EXI_beam_diff!U11,"0.000000E+00")))  &amp;   TEXT(EXI_beam_diff!U11,"0.000000E+00")</f>
        <v xml:space="preserve">       1.173060E+03</v>
      </c>
      <c r="V11" s="230" t="str">
        <f xml:space="preserve"> REPT(" ",8-LEN(TEXT(EXI_beam_diff!V11,"0.0000")))  &amp;  TEXT(EXI_beam_diff!V11,"0.0000")</f>
        <v xml:space="preserve">  0.4157</v>
      </c>
      <c r="AG11" s="1"/>
    </row>
    <row r="12" spans="1:33">
      <c r="A12" s="230" t="str">
        <f>REPT(" ",5-LEN(TEXT(EXI_beam_diff!A12,"###"))) &amp; TEXT(EXI_beam_diff!A12,"###")</f>
        <v xml:space="preserve">    5</v>
      </c>
      <c r="B12" s="230" t="str">
        <f xml:space="preserve"> REPT(" ",8-LEN(TEXT(EXI_beam_diff!B12,"0.0000")))  &amp;  TEXT(EXI_beam_diff!B12,"0.0000")</f>
        <v xml:space="preserve">  0.4157</v>
      </c>
      <c r="C12" s="230" t="str">
        <f xml:space="preserve"> REPT(" ",8-LEN(TEXT(EXI_beam_diff!C12,"0.0000")))  &amp;  TEXT(EXI_beam_diff!C12,"0.0000")</f>
        <v xml:space="preserve">  0.0000</v>
      </c>
      <c r="D12" s="230" t="str">
        <f xml:space="preserve"> REPT(" ",8-LEN(TEXT(EXI_beam_diff!D12,"0.0000")))  &amp;  TEXT(EXI_beam_diff!D12,"0.0000")</f>
        <v xml:space="preserve">  0.0000</v>
      </c>
      <c r="E12" s="230" t="str">
        <f xml:space="preserve"> REPT(" ",19-LEN(TEXT(EXI_beam_diff!E12,"0.000000E+00")))  &amp;   TEXT(EXI_beam_diff!E12,"0.000000E+00")</f>
        <v xml:space="preserve">       1.307414E+00</v>
      </c>
      <c r="F12" s="230" t="str">
        <f xml:space="preserve"> REPT(" ",8-LEN(TEXT(EXI_beam_diff!F12,"0.0000")))  &amp;  TEXT(EXI_beam_diff!F12,"0.0000")</f>
        <v xml:space="preserve">  0.0048</v>
      </c>
      <c r="G12" s="230" t="str">
        <f xml:space="preserve"> REPT(" ",8-LEN(TEXT(EXI_beam_diff!G12,"0.0000")))  &amp;  TEXT(EXI_beam_diff!G12,"0.0000")</f>
        <v xml:space="preserve">  0.0018</v>
      </c>
      <c r="H12" s="230" t="str">
        <f xml:space="preserve"> REPT(" ",19-LEN(TEXT(EXI_beam_diff!H12,"0.000000E+00")))  &amp;   TEXT(EXI_beam_diff!H12,"0.000000E+00")</f>
        <v xml:space="preserve">       5.321511E-05</v>
      </c>
      <c r="I12" s="230" t="str">
        <f xml:space="preserve"> REPT(" ",19-LEN(TEXT(EXI_beam_diff!I12,"0.000000E+00")))  &amp;   TEXT(EXI_beam_diff!I12,"0.000000E+00")</f>
        <v xml:space="preserve">       1.468983E-03</v>
      </c>
      <c r="J12" s="230" t="str">
        <f xml:space="preserve"> REPT(" ",19-LEN(TEXT(EXI_beam_diff!J12,"0.000000E+00")))  &amp;   TEXT(EXI_beam_diff!J12,"0.000000E+00")</f>
        <v xml:space="preserve">      -1.564831E-04</v>
      </c>
      <c r="K12" s="230" t="str">
        <f xml:space="preserve"> REPT(" ",19-LEN(TEXT(EXI_beam_diff!K12,"0.000000E+00")))  &amp;   TEXT(EXI_beam_diff!K12,"0.000000E+00")</f>
        <v xml:space="preserve">       2.779825E+07</v>
      </c>
      <c r="L12" s="230" t="str">
        <f xml:space="preserve"> REPT(" ",19-LEN(TEXT(EXI_beam_diff!L12,"0.000000E+00")))  &amp;   TEXT(EXI_beam_diff!L12,"0.000000E+00")</f>
        <v xml:space="preserve">       6.318628E+04</v>
      </c>
      <c r="M12" s="230" t="str">
        <f xml:space="preserve"> REPT(" ",19-LEN(TEXT(EXI_beam_diff!M12,"0.000000E+00")))  &amp;   TEXT(EXI_beam_diff!M12,"0.000000E+00")</f>
        <v xml:space="preserve">      -3.004487E+04</v>
      </c>
      <c r="N12" s="230" t="str">
        <f xml:space="preserve"> REPT(" ",19-LEN(TEXT(EXI_beam_diff!N12,"0.000000E+00")))  &amp;   TEXT(EXI_beam_diff!N12,"0.000000E+00")</f>
        <v xml:space="preserve">       1.216627E+03</v>
      </c>
      <c r="O12" s="230" t="str">
        <f xml:space="preserve"> REPT(" ",19-LEN(TEXT(EXI_beam_diff!O12,"0.000000E+00")))  &amp;   TEXT(EXI_beam_diff!O12,"0.000000E+00")</f>
        <v xml:space="preserve">       1.134167E+04</v>
      </c>
      <c r="P12" s="230" t="str">
        <f xml:space="preserve"> REPT(" ",19-LEN(TEXT(EXI_beam_diff!P12,"0.000000E+00")))  &amp;   TEXT(EXI_beam_diff!P12,"0.000000E+00")</f>
        <v xml:space="preserve">      -1.346480E+03</v>
      </c>
      <c r="Q12" s="230" t="str">
        <f xml:space="preserve"> REPT(" ",19-LEN(TEXT(EXI_beam_diff!Q12,"0.000000E+00")))  &amp;   TEXT(EXI_beam_diff!Q12,"0.000000E+00")</f>
        <v xml:space="preserve">       5.700823E+02</v>
      </c>
      <c r="R12" s="230" t="str">
        <f xml:space="preserve"> REPT(" ",19-LEN(TEXT(EXI_beam_diff!R12,"0.000000E+00")))  &amp;   TEXT(EXI_beam_diff!R12,"0.000000E+00")</f>
        <v xml:space="preserve">       1.096685E+06</v>
      </c>
      <c r="S12" s="230" t="str">
        <f xml:space="preserve"> REPT(" ",19-LEN(TEXT(EXI_beam_diff!S12,"0.000000E+00")))  &amp;   TEXT(EXI_beam_diff!S12,"0.000000E+00")</f>
        <v xml:space="preserve">       9.736779E+05</v>
      </c>
      <c r="T12" s="230" t="str">
        <f xml:space="preserve"> REPT(" ",19-LEN(TEXT(EXI_beam_diff!T12,"0.000000E+00")))  &amp;   TEXT(EXI_beam_diff!T12,"0.000000E+00")</f>
        <v xml:space="preserve">       3.315977E+03</v>
      </c>
      <c r="U12" s="230" t="str">
        <f xml:space="preserve"> REPT(" ",19-LEN(TEXT(EXI_beam_diff!U12,"0.000000E+00")))  &amp;   TEXT(EXI_beam_diff!U12,"0.000000E+00")</f>
        <v xml:space="preserve">       1.173060E+03</v>
      </c>
      <c r="V12" s="230" t="str">
        <f xml:space="preserve"> REPT(" ",8-LEN(TEXT(EXI_beam_diff!V12,"0.0000")))  &amp;  TEXT(EXI_beam_diff!V12,"0.0000")</f>
        <v xml:space="preserve">  0.4157</v>
      </c>
    </row>
    <row r="13" spans="1:33">
      <c r="A13" s="230" t="str">
        <f>REPT(" ",5-LEN(TEXT(EXI_beam_diff!A13,"###"))) &amp; TEXT(EXI_beam_diff!A13,"###")</f>
        <v xml:space="preserve">     </v>
      </c>
      <c r="B13" s="230" t="str">
        <f xml:space="preserve"> REPT(" ",8-LEN(TEXT(EXI_beam_diff!B13,"0.0000")))  &amp;  TEXT(EXI_beam_diff!B13,"0.0000")</f>
        <v xml:space="preserve">  0.5013</v>
      </c>
      <c r="C13" s="230" t="str">
        <f xml:space="preserve"> REPT(" ",8-LEN(TEXT(EXI_beam_diff!C13,"0.0000")))  &amp;  TEXT(EXI_beam_diff!C13,"0.0000")</f>
        <v xml:space="preserve">  0.0000</v>
      </c>
      <c r="D13" s="230" t="str">
        <f xml:space="preserve"> REPT(" ",8-LEN(TEXT(EXI_beam_diff!D13,"0.0000")))  &amp;  TEXT(EXI_beam_diff!D13,"0.0000")</f>
        <v xml:space="preserve">  0.0000</v>
      </c>
      <c r="E13" s="230" t="str">
        <f xml:space="preserve"> REPT(" ",19-LEN(TEXT(EXI_beam_diff!E13,"0.000000E+00")))  &amp;   TEXT(EXI_beam_diff!E13,"0.000000E+00")</f>
        <v xml:space="preserve">       1.184992E+00</v>
      </c>
      <c r="F13" s="230" t="str">
        <f xml:space="preserve"> REPT(" ",8-LEN(TEXT(EXI_beam_diff!F13,"0.0000")))  &amp;  TEXT(EXI_beam_diff!F13,"0.0000")</f>
        <v xml:space="preserve">  0.0115</v>
      </c>
      <c r="G13" s="230" t="str">
        <f xml:space="preserve"> REPT(" ",8-LEN(TEXT(EXI_beam_diff!G13,"0.0000")))  &amp;  TEXT(EXI_beam_diff!G13,"0.0000")</f>
        <v xml:space="preserve">  0.0024</v>
      </c>
      <c r="H13" s="230" t="str">
        <f xml:space="preserve"> REPT(" ",19-LEN(TEXT(EXI_beam_diff!H13,"0.000000E+00")))  &amp;   TEXT(EXI_beam_diff!H13,"0.000000E+00")</f>
        <v xml:space="preserve">       4.467495E-05</v>
      </c>
      <c r="I13" s="230" t="str">
        <f xml:space="preserve"> REPT(" ",19-LEN(TEXT(EXI_beam_diff!I13,"0.000000E+00")))  &amp;   TEXT(EXI_beam_diff!I13,"0.000000E+00")</f>
        <v xml:space="preserve">       1.469290E-03</v>
      </c>
      <c r="J13" s="230" t="str">
        <f xml:space="preserve"> REPT(" ",19-LEN(TEXT(EXI_beam_diff!J13,"0.000000E+00")))  &amp;   TEXT(EXI_beam_diff!J13,"0.000000E+00")</f>
        <v xml:space="preserve">      -1.033125E-04</v>
      </c>
      <c r="K13" s="230" t="str">
        <f xml:space="preserve"> REPT(" ",19-LEN(TEXT(EXI_beam_diff!K13,"0.000000E+00")))  &amp;   TEXT(EXI_beam_diff!K13,"0.000000E+00")</f>
        <v xml:space="preserve">       2.765016E+07</v>
      </c>
      <c r="L13" s="230" t="str">
        <f xml:space="preserve"> REPT(" ",19-LEN(TEXT(EXI_beam_diff!L13,"0.000000E+00")))  &amp;   TEXT(EXI_beam_diff!L13,"0.000000E+00")</f>
        <v xml:space="preserve">       7.168893E+04</v>
      </c>
      <c r="M13" s="230" t="str">
        <f xml:space="preserve"> REPT(" ",19-LEN(TEXT(EXI_beam_diff!M13,"0.000000E+00")))  &amp;   TEXT(EXI_beam_diff!M13,"0.000000E+00")</f>
        <v xml:space="preserve">      -2.338535E+04</v>
      </c>
      <c r="N13" s="230" t="str">
        <f xml:space="preserve"> REPT(" ",19-LEN(TEXT(EXI_beam_diff!N13,"0.000000E+00")))  &amp;   TEXT(EXI_beam_diff!N13,"0.000000E+00")</f>
        <v xml:space="preserve">       1.128304E+03</v>
      </c>
      <c r="O13" s="230" t="str">
        <f xml:space="preserve"> REPT(" ",19-LEN(TEXT(EXI_beam_diff!O13,"0.000000E+00")))  &amp;   TEXT(EXI_beam_diff!O13,"0.000000E+00")</f>
        <v xml:space="preserve">       1.126088E+04</v>
      </c>
      <c r="P13" s="230" t="str">
        <f xml:space="preserve"> REPT(" ",19-LEN(TEXT(EXI_beam_diff!P13,"0.000000E+00")))  &amp;   TEXT(EXI_beam_diff!P13,"0.000000E+00")</f>
        <v xml:space="preserve">      -1.172532E+03</v>
      </c>
      <c r="Q13" s="230" t="str">
        <f xml:space="preserve"> REPT(" ",19-LEN(TEXT(EXI_beam_diff!Q13,"0.000000E+00")))  &amp;   TEXT(EXI_beam_diff!Q13,"0.000000E+00")</f>
        <v xml:space="preserve">       5.223113E+02</v>
      </c>
      <c r="R13" s="230" t="str">
        <f xml:space="preserve"> REPT(" ",19-LEN(TEXT(EXI_beam_diff!R13,"0.000000E+00")))  &amp;   TEXT(EXI_beam_diff!R13,"0.000000E+00")</f>
        <v xml:space="preserve">       1.013650E+06</v>
      </c>
      <c r="S13" s="230" t="str">
        <f xml:space="preserve"> REPT(" ",19-LEN(TEXT(EXI_beam_diff!S13,"0.000000E+00")))  &amp;   TEXT(EXI_beam_diff!S13,"0.000000E+00")</f>
        <v xml:space="preserve">       8.993830E+05</v>
      </c>
      <c r="T13" s="230" t="str">
        <f xml:space="preserve"> REPT(" ",19-LEN(TEXT(EXI_beam_diff!T13,"0.000000E+00")))  &amp;   TEXT(EXI_beam_diff!T13,"0.000000E+00")</f>
        <v xml:space="preserve">       3.278450E+03</v>
      </c>
      <c r="U13" s="230" t="str">
        <f xml:space="preserve"> REPT(" ",19-LEN(TEXT(EXI_beam_diff!U13,"0.000000E+00")))  &amp;   TEXT(EXI_beam_diff!U13,"0.000000E+00")</f>
        <v xml:space="preserve">       1.504733E+03</v>
      </c>
      <c r="V13" s="230" t="str">
        <f xml:space="preserve"> REPT(" ",8-LEN(TEXT(EXI_beam_diff!V13,"0.0000")))  &amp;  TEXT(EXI_beam_diff!V13,"0.0000")</f>
        <v xml:space="preserve">  0.5013</v>
      </c>
      <c r="AG13" s="1"/>
    </row>
    <row r="14" spans="1:33">
      <c r="A14" s="230" t="str">
        <f>REPT(" ",5-LEN(TEXT(EXI_beam_diff!A14,"###"))) &amp; TEXT(EXI_beam_diff!A14,"###")</f>
        <v xml:space="preserve">    6</v>
      </c>
      <c r="B14" s="230" t="str">
        <f xml:space="preserve"> REPT(" ",8-LEN(TEXT(EXI_beam_diff!B14,"0.0000")))  &amp;  TEXT(EXI_beam_diff!B14,"0.0000")</f>
        <v xml:space="preserve">  0.5013</v>
      </c>
      <c r="C14" s="230" t="str">
        <f xml:space="preserve"> REPT(" ",8-LEN(TEXT(EXI_beam_diff!C14,"0.0000")))  &amp;  TEXT(EXI_beam_diff!C14,"0.0000")</f>
        <v xml:space="preserve">  0.0000</v>
      </c>
      <c r="D14" s="230" t="str">
        <f xml:space="preserve"> REPT(" ",8-LEN(TEXT(EXI_beam_diff!D14,"0.0000")))  &amp;  TEXT(EXI_beam_diff!D14,"0.0000")</f>
        <v xml:space="preserve">  0.0000</v>
      </c>
      <c r="E14" s="230" t="str">
        <f xml:space="preserve"> REPT(" ",19-LEN(TEXT(EXI_beam_diff!E14,"0.000000E+00")))  &amp;   TEXT(EXI_beam_diff!E14,"0.000000E+00")</f>
        <v xml:space="preserve">       1.184992E+00</v>
      </c>
      <c r="F14" s="230" t="str">
        <f xml:space="preserve"> REPT(" ",8-LEN(TEXT(EXI_beam_diff!F14,"0.0000")))  &amp;  TEXT(EXI_beam_diff!F14,"0.0000")</f>
        <v xml:space="preserve">  0.0115</v>
      </c>
      <c r="G14" s="230" t="str">
        <f xml:space="preserve"> REPT(" ",8-LEN(TEXT(EXI_beam_diff!G14,"0.0000")))  &amp;  TEXT(EXI_beam_diff!G14,"0.0000")</f>
        <v xml:space="preserve">  0.0024</v>
      </c>
      <c r="H14" s="230" t="str">
        <f xml:space="preserve"> REPT(" ",19-LEN(TEXT(EXI_beam_diff!H14,"0.000000E+00")))  &amp;   TEXT(EXI_beam_diff!H14,"0.000000E+00")</f>
        <v xml:space="preserve">       4.467495E-05</v>
      </c>
      <c r="I14" s="230" t="str">
        <f xml:space="preserve"> REPT(" ",19-LEN(TEXT(EXI_beam_diff!I14,"0.000000E+00")))  &amp;   TEXT(EXI_beam_diff!I14,"0.000000E+00")</f>
        <v xml:space="preserve">       1.469290E-03</v>
      </c>
      <c r="J14" s="230" t="str">
        <f xml:space="preserve"> REPT(" ",19-LEN(TEXT(EXI_beam_diff!J14,"0.000000E+00")))  &amp;   TEXT(EXI_beam_diff!J14,"0.000000E+00")</f>
        <v xml:space="preserve">      -1.033125E-04</v>
      </c>
      <c r="K14" s="230" t="str">
        <f xml:space="preserve"> REPT(" ",19-LEN(TEXT(EXI_beam_diff!K14,"0.000000E+00")))  &amp;   TEXT(EXI_beam_diff!K14,"0.000000E+00")</f>
        <v xml:space="preserve">       2.765016E+07</v>
      </c>
      <c r="L14" s="230" t="str">
        <f xml:space="preserve"> REPT(" ",19-LEN(TEXT(EXI_beam_diff!L14,"0.000000E+00")))  &amp;   TEXT(EXI_beam_diff!L14,"0.000000E+00")</f>
        <v xml:space="preserve">       7.168893E+04</v>
      </c>
      <c r="M14" s="230" t="str">
        <f xml:space="preserve"> REPT(" ",19-LEN(TEXT(EXI_beam_diff!M14,"0.000000E+00")))  &amp;   TEXT(EXI_beam_diff!M14,"0.000000E+00")</f>
        <v xml:space="preserve">      -2.338535E+04</v>
      </c>
      <c r="N14" s="230" t="str">
        <f xml:space="preserve"> REPT(" ",19-LEN(TEXT(EXI_beam_diff!N14,"0.000000E+00")))  &amp;   TEXT(EXI_beam_diff!N14,"0.000000E+00")</f>
        <v xml:space="preserve">       1.128304E+03</v>
      </c>
      <c r="O14" s="230" t="str">
        <f xml:space="preserve"> REPT(" ",19-LEN(TEXT(EXI_beam_diff!O14,"0.000000E+00")))  &amp;   TEXT(EXI_beam_diff!O14,"0.000000E+00")</f>
        <v xml:space="preserve">       1.126088E+04</v>
      </c>
      <c r="P14" s="230" t="str">
        <f xml:space="preserve"> REPT(" ",19-LEN(TEXT(EXI_beam_diff!P14,"0.000000E+00")))  &amp;   TEXT(EXI_beam_diff!P14,"0.000000E+00")</f>
        <v xml:space="preserve">      -1.172532E+03</v>
      </c>
      <c r="Q14" s="230" t="str">
        <f xml:space="preserve"> REPT(" ",19-LEN(TEXT(EXI_beam_diff!Q14,"0.000000E+00")))  &amp;   TEXT(EXI_beam_diff!Q14,"0.000000E+00")</f>
        <v xml:space="preserve">       5.223113E+02</v>
      </c>
      <c r="R14" s="230" t="str">
        <f xml:space="preserve"> REPT(" ",19-LEN(TEXT(EXI_beam_diff!R14,"0.000000E+00")))  &amp;   TEXT(EXI_beam_diff!R14,"0.000000E+00")</f>
        <v xml:space="preserve">       1.013650E+06</v>
      </c>
      <c r="S14" s="230" t="str">
        <f xml:space="preserve"> REPT(" ",19-LEN(TEXT(EXI_beam_diff!S14,"0.000000E+00")))  &amp;   TEXT(EXI_beam_diff!S14,"0.000000E+00")</f>
        <v xml:space="preserve">       8.993830E+05</v>
      </c>
      <c r="T14" s="230" t="str">
        <f xml:space="preserve"> REPT(" ",19-LEN(TEXT(EXI_beam_diff!T14,"0.000000E+00")))  &amp;   TEXT(EXI_beam_diff!T14,"0.000000E+00")</f>
        <v xml:space="preserve">       3.278450E+03</v>
      </c>
      <c r="U14" s="230" t="str">
        <f xml:space="preserve"> REPT(" ",19-LEN(TEXT(EXI_beam_diff!U14,"0.000000E+00")))  &amp;   TEXT(EXI_beam_diff!U14,"0.000000E+00")</f>
        <v xml:space="preserve">       1.504733E+03</v>
      </c>
      <c r="V14" s="230" t="str">
        <f xml:space="preserve"> REPT(" ",8-LEN(TEXT(EXI_beam_diff!V14,"0.0000")))  &amp;  TEXT(EXI_beam_diff!V14,"0.0000")</f>
        <v xml:space="preserve">  0.5013</v>
      </c>
    </row>
    <row r="15" spans="1:33">
      <c r="A15" s="230" t="str">
        <f>REPT(" ",5-LEN(TEXT(EXI_beam_diff!A15,"###"))) &amp; TEXT(EXI_beam_diff!A15,"###")</f>
        <v xml:space="preserve">     </v>
      </c>
      <c r="B15" s="230" t="str">
        <f xml:space="preserve"> REPT(" ",8-LEN(TEXT(EXI_beam_diff!B15,"0.0000")))  &amp;  TEXT(EXI_beam_diff!B15,"0.0000")</f>
        <v xml:space="preserve">  0.5850</v>
      </c>
      <c r="C15" s="230" t="str">
        <f xml:space="preserve"> REPT(" ",8-LEN(TEXT(EXI_beam_diff!C15,"0.0000")))  &amp;  TEXT(EXI_beam_diff!C15,"0.0000")</f>
        <v xml:space="preserve">  0.0000</v>
      </c>
      <c r="D15" s="230" t="str">
        <f xml:space="preserve"> REPT(" ",8-LEN(TEXT(EXI_beam_diff!D15,"0.0000")))  &amp;  TEXT(EXI_beam_diff!D15,"0.0000")</f>
        <v xml:space="preserve">  0.0000</v>
      </c>
      <c r="E15" s="230" t="str">
        <f xml:space="preserve"> REPT(" ",19-LEN(TEXT(EXI_beam_diff!E15,"0.000000E+00")))  &amp;   TEXT(EXI_beam_diff!E15,"0.000000E+00")</f>
        <v xml:space="preserve">       1.085075E+00</v>
      </c>
      <c r="F15" s="230" t="str">
        <f xml:space="preserve"> REPT(" ",8-LEN(TEXT(EXI_beam_diff!F15,"0.0000")))  &amp;  TEXT(EXI_beam_diff!F15,"0.0000")</f>
        <v xml:space="preserve">  0.0166</v>
      </c>
      <c r="G15" s="230" t="str">
        <f xml:space="preserve"> REPT(" ",8-LEN(TEXT(EXI_beam_diff!G15,"0.0000")))  &amp;  TEXT(EXI_beam_diff!G15,"0.0000")</f>
        <v xml:space="preserve">  0.0035</v>
      </c>
      <c r="H15" s="230" t="str">
        <f xml:space="preserve"> REPT(" ",19-LEN(TEXT(EXI_beam_diff!H15,"0.000000E+00")))  &amp;   TEXT(EXI_beam_diff!H15,"0.000000E+00")</f>
        <v xml:space="preserve">       4.188112E-05</v>
      </c>
      <c r="I15" s="230" t="str">
        <f xml:space="preserve"> REPT(" ",19-LEN(TEXT(EXI_beam_diff!I15,"0.000000E+00")))  &amp;   TEXT(EXI_beam_diff!I15,"0.000000E+00")</f>
        <v xml:space="preserve">       1.466732E-03</v>
      </c>
      <c r="J15" s="230" t="str">
        <f xml:space="preserve"> REPT(" ",19-LEN(TEXT(EXI_beam_diff!J15,"0.000000E+00")))  &amp;   TEXT(EXI_beam_diff!J15,"0.000000E+00")</f>
        <v xml:space="preserve">      -5.859116E-05</v>
      </c>
      <c r="K15" s="230" t="str">
        <f xml:space="preserve"> REPT(" ",19-LEN(TEXT(EXI_beam_diff!K15,"0.000000E+00")))  &amp;   TEXT(EXI_beam_diff!K15,"0.000000E+00")</f>
        <v xml:space="preserve">       2.753449E+07</v>
      </c>
      <c r="L15" s="230" t="str">
        <f xml:space="preserve"> REPT(" ",19-LEN(TEXT(EXI_beam_diff!L15,"0.000000E+00")))  &amp;   TEXT(EXI_beam_diff!L15,"0.000000E+00")</f>
        <v xml:space="preserve">       5.000359E+04</v>
      </c>
      <c r="M15" s="230" t="str">
        <f xml:space="preserve"> REPT(" ",19-LEN(TEXT(EXI_beam_diff!M15,"0.000000E+00")))  &amp;   TEXT(EXI_beam_diff!M15,"0.000000E+00")</f>
        <v xml:space="preserve">      -1.774799E+04</v>
      </c>
      <c r="N15" s="230" t="str">
        <f xml:space="preserve"> REPT(" ",19-LEN(TEXT(EXI_beam_diff!N15,"0.000000E+00")))  &amp;   TEXT(EXI_beam_diff!N15,"0.000000E+00")</f>
        <v xml:space="preserve">       9.533032E+02</v>
      </c>
      <c r="O15" s="230" t="str">
        <f xml:space="preserve"> REPT(" ",19-LEN(TEXT(EXI_beam_diff!O15,"0.000000E+00")))  &amp;   TEXT(EXI_beam_diff!O15,"0.000000E+00")</f>
        <v xml:space="preserve">       1.116900E+04</v>
      </c>
      <c r="P15" s="230" t="str">
        <f xml:space="preserve"> REPT(" ",19-LEN(TEXT(EXI_beam_diff!P15,"0.000000E+00")))  &amp;   TEXT(EXI_beam_diff!P15,"0.000000E+00")</f>
        <v xml:space="preserve">      -1.079260E+03</v>
      </c>
      <c r="Q15" s="230" t="str">
        <f xml:space="preserve"> REPT(" ",19-LEN(TEXT(EXI_beam_diff!Q15,"0.000000E+00")))  &amp;   TEXT(EXI_beam_diff!Q15,"0.000000E+00")</f>
        <v xml:space="preserve">       4.832104E+02</v>
      </c>
      <c r="R15" s="230" t="str">
        <f xml:space="preserve"> REPT(" ",19-LEN(TEXT(EXI_beam_diff!R15,"0.000000E+00")))  &amp;   TEXT(EXI_beam_diff!R15,"0.000000E+00")</f>
        <v xml:space="preserve">       9.443056E+05</v>
      </c>
      <c r="S15" s="230" t="str">
        <f xml:space="preserve"> REPT(" ",19-LEN(TEXT(EXI_beam_diff!S15,"0.000000E+00")))  &amp;   TEXT(EXI_beam_diff!S15,"0.000000E+00")</f>
        <v xml:space="preserve">       8.372867E+05</v>
      </c>
      <c r="T15" s="230" t="str">
        <f xml:space="preserve"> REPT(" ",19-LEN(TEXT(EXI_beam_diff!T15,"0.000000E+00")))  &amp;   TEXT(EXI_beam_diff!T15,"0.000000E+00")</f>
        <v xml:space="preserve">       2.593571E+03</v>
      </c>
      <c r="U15" s="230" t="str">
        <f xml:space="preserve"> REPT(" ",19-LEN(TEXT(EXI_beam_diff!U15,"0.000000E+00")))  &amp;   TEXT(EXI_beam_diff!U15,"0.000000E+00")</f>
        <v xml:space="preserve">       1.853864E+03</v>
      </c>
      <c r="V15" s="230" t="str">
        <f xml:space="preserve"> REPT(" ",8-LEN(TEXT(EXI_beam_diff!V15,"0.0000")))  &amp;  TEXT(EXI_beam_diff!V15,"0.0000")</f>
        <v xml:space="preserve">  0.5850</v>
      </c>
      <c r="AG15" s="1"/>
    </row>
    <row r="16" spans="1:33">
      <c r="A16" s="230" t="str">
        <f>REPT(" ",5-LEN(TEXT(EXI_beam_diff!A16,"###"))) &amp; TEXT(EXI_beam_diff!A16,"###")</f>
        <v xml:space="preserve">    7</v>
      </c>
      <c r="B16" s="230" t="str">
        <f xml:space="preserve"> REPT(" ",8-LEN(TEXT(EXI_beam_diff!B16,"0.0000")))  &amp;  TEXT(EXI_beam_diff!B16,"0.0000")</f>
        <v xml:space="preserve">  0.5850</v>
      </c>
      <c r="C16" s="230" t="str">
        <f xml:space="preserve"> REPT(" ",8-LEN(TEXT(EXI_beam_diff!C16,"0.0000")))  &amp;  TEXT(EXI_beam_diff!C16,"0.0000")</f>
        <v xml:space="preserve">  0.0000</v>
      </c>
      <c r="D16" s="230" t="str">
        <f xml:space="preserve"> REPT(" ",8-LEN(TEXT(EXI_beam_diff!D16,"0.0000")))  &amp;  TEXT(EXI_beam_diff!D16,"0.0000")</f>
        <v xml:space="preserve">  0.0000</v>
      </c>
      <c r="E16" s="230" t="str">
        <f xml:space="preserve"> REPT(" ",19-LEN(TEXT(EXI_beam_diff!E16,"0.000000E+00")))  &amp;   TEXT(EXI_beam_diff!E16,"0.000000E+00")</f>
        <v xml:space="preserve">       1.085075E+00</v>
      </c>
      <c r="F16" s="230" t="str">
        <f xml:space="preserve"> REPT(" ",8-LEN(TEXT(EXI_beam_diff!F16,"0.0000")))  &amp;  TEXT(EXI_beam_diff!F16,"0.0000")</f>
        <v xml:space="preserve">  0.0166</v>
      </c>
      <c r="G16" s="230" t="str">
        <f xml:space="preserve"> REPT(" ",8-LEN(TEXT(EXI_beam_diff!G16,"0.0000")))  &amp;  TEXT(EXI_beam_diff!G16,"0.0000")</f>
        <v xml:space="preserve">  0.0035</v>
      </c>
      <c r="H16" s="230" t="str">
        <f xml:space="preserve"> REPT(" ",19-LEN(TEXT(EXI_beam_diff!H16,"0.000000E+00")))  &amp;   TEXT(EXI_beam_diff!H16,"0.000000E+00")</f>
        <v xml:space="preserve">       4.188112E-05</v>
      </c>
      <c r="I16" s="230" t="str">
        <f xml:space="preserve"> REPT(" ",19-LEN(TEXT(EXI_beam_diff!I16,"0.000000E+00")))  &amp;   TEXT(EXI_beam_diff!I16,"0.000000E+00")</f>
        <v xml:space="preserve">       1.466732E-03</v>
      </c>
      <c r="J16" s="230" t="str">
        <f xml:space="preserve"> REPT(" ",19-LEN(TEXT(EXI_beam_diff!J16,"0.000000E+00")))  &amp;   TEXT(EXI_beam_diff!J16,"0.000000E+00")</f>
        <v xml:space="preserve">      -5.859116E-05</v>
      </c>
      <c r="K16" s="230" t="str">
        <f xml:space="preserve"> REPT(" ",19-LEN(TEXT(EXI_beam_diff!K16,"0.000000E+00")))  &amp;   TEXT(EXI_beam_diff!K16,"0.000000E+00")</f>
        <v xml:space="preserve">       2.753449E+07</v>
      </c>
      <c r="L16" s="230" t="str">
        <f xml:space="preserve"> REPT(" ",19-LEN(TEXT(EXI_beam_diff!L16,"0.000000E+00")))  &amp;   TEXT(EXI_beam_diff!L16,"0.000000E+00")</f>
        <v xml:space="preserve">       5.000359E+04</v>
      </c>
      <c r="M16" s="230" t="str">
        <f xml:space="preserve"> REPT(" ",19-LEN(TEXT(EXI_beam_diff!M16,"0.000000E+00")))  &amp;   TEXT(EXI_beam_diff!M16,"0.000000E+00")</f>
        <v xml:space="preserve">      -1.774799E+04</v>
      </c>
      <c r="N16" s="230" t="str">
        <f xml:space="preserve"> REPT(" ",19-LEN(TEXT(EXI_beam_diff!N16,"0.000000E+00")))  &amp;   TEXT(EXI_beam_diff!N16,"0.000000E+00")</f>
        <v xml:space="preserve">       9.533032E+02</v>
      </c>
      <c r="O16" s="230" t="str">
        <f xml:space="preserve"> REPT(" ",19-LEN(TEXT(EXI_beam_diff!O16,"0.000000E+00")))  &amp;   TEXT(EXI_beam_diff!O16,"0.000000E+00")</f>
        <v xml:space="preserve">       1.116900E+04</v>
      </c>
      <c r="P16" s="230" t="str">
        <f xml:space="preserve"> REPT(" ",19-LEN(TEXT(EXI_beam_diff!P16,"0.000000E+00")))  &amp;   TEXT(EXI_beam_diff!P16,"0.000000E+00")</f>
        <v xml:space="preserve">      -1.079260E+03</v>
      </c>
      <c r="Q16" s="230" t="str">
        <f xml:space="preserve"> REPT(" ",19-LEN(TEXT(EXI_beam_diff!Q16,"0.000000E+00")))  &amp;   TEXT(EXI_beam_diff!Q16,"0.000000E+00")</f>
        <v xml:space="preserve">       4.832104E+02</v>
      </c>
      <c r="R16" s="230" t="str">
        <f xml:space="preserve"> REPT(" ",19-LEN(TEXT(EXI_beam_diff!R16,"0.000000E+00")))  &amp;   TEXT(EXI_beam_diff!R16,"0.000000E+00")</f>
        <v xml:space="preserve">       9.443056E+05</v>
      </c>
      <c r="S16" s="230" t="str">
        <f xml:space="preserve"> REPT(" ",19-LEN(TEXT(EXI_beam_diff!S16,"0.000000E+00")))  &amp;   TEXT(EXI_beam_diff!S16,"0.000000E+00")</f>
        <v xml:space="preserve">       8.372867E+05</v>
      </c>
      <c r="T16" s="230" t="str">
        <f xml:space="preserve"> REPT(" ",19-LEN(TEXT(EXI_beam_diff!T16,"0.000000E+00")))  &amp;   TEXT(EXI_beam_diff!T16,"0.000000E+00")</f>
        <v xml:space="preserve">       2.593571E+03</v>
      </c>
      <c r="U16" s="230" t="str">
        <f xml:space="preserve"> REPT(" ",19-LEN(TEXT(EXI_beam_diff!U16,"0.000000E+00")))  &amp;   TEXT(EXI_beam_diff!U16,"0.000000E+00")</f>
        <v xml:space="preserve">       1.853864E+03</v>
      </c>
      <c r="V16" s="230" t="str">
        <f xml:space="preserve"> REPT(" ",8-LEN(TEXT(EXI_beam_diff!V16,"0.0000")))  &amp;  TEXT(EXI_beam_diff!V16,"0.0000")</f>
        <v xml:space="preserve">  0.5850</v>
      </c>
    </row>
    <row r="17" spans="1:33">
      <c r="A17" s="230" t="str">
        <f>REPT(" ",5-LEN(TEXT(EXI_beam_diff!A17,"###"))) &amp; TEXT(EXI_beam_diff!A17,"###")</f>
        <v xml:space="preserve">     </v>
      </c>
      <c r="B17" s="230" t="str">
        <f xml:space="preserve"> REPT(" ",8-LEN(TEXT(EXI_beam_diff!B17,"0.0000")))  &amp;  TEXT(EXI_beam_diff!B17,"0.0000")</f>
        <v xml:space="preserve">  0.6703</v>
      </c>
      <c r="C17" s="230" t="str">
        <f xml:space="preserve"> REPT(" ",8-LEN(TEXT(EXI_beam_diff!C17,"0.0000")))  &amp;  TEXT(EXI_beam_diff!C17,"0.0000")</f>
        <v xml:space="preserve">  0.0000</v>
      </c>
      <c r="D17" s="230" t="str">
        <f xml:space="preserve"> REPT(" ",8-LEN(TEXT(EXI_beam_diff!D17,"0.0000")))  &amp;  TEXT(EXI_beam_diff!D17,"0.0000")</f>
        <v xml:space="preserve">  0.0000</v>
      </c>
      <c r="E17" s="230" t="str">
        <f xml:space="preserve"> REPT(" ",19-LEN(TEXT(EXI_beam_diff!E17,"0.000000E+00")))  &amp;   TEXT(EXI_beam_diff!E17,"0.000000E+00")</f>
        <v xml:space="preserve">       1.307644E+00</v>
      </c>
      <c r="F17" s="230" t="str">
        <f xml:space="preserve"> REPT(" ",8-LEN(TEXT(EXI_beam_diff!F17,"0.0000")))  &amp;  TEXT(EXI_beam_diff!F17,"0.0000")</f>
        <v xml:space="preserve">  0.0043</v>
      </c>
      <c r="G17" s="230" t="str">
        <f xml:space="preserve"> REPT(" ",8-LEN(TEXT(EXI_beam_diff!G17,"0.0000")))  &amp;  TEXT(EXI_beam_diff!G17,"0.0000")</f>
        <v xml:space="preserve">  0.0021</v>
      </c>
      <c r="H17" s="230" t="str">
        <f xml:space="preserve"> REPT(" ",19-LEN(TEXT(EXI_beam_diff!H17,"0.000000E+00")))  &amp;   TEXT(EXI_beam_diff!H17,"0.000000E+00")</f>
        <v xml:space="preserve">       4.283549E-05</v>
      </c>
      <c r="I17" s="230" t="str">
        <f xml:space="preserve"> REPT(" ",19-LEN(TEXT(EXI_beam_diff!I17,"0.000000E+00")))  &amp;   TEXT(EXI_beam_diff!I17,"0.000000E+00")</f>
        <v xml:space="preserve">       1.500884E-03</v>
      </c>
      <c r="J17" s="230" t="str">
        <f xml:space="preserve"> REPT(" ",19-LEN(TEXT(EXI_beam_diff!J17,"0.000000E+00")))  &amp;   TEXT(EXI_beam_diff!J17,"0.000000E+00")</f>
        <v xml:space="preserve">      -1.074515E-04</v>
      </c>
      <c r="K17" s="230" t="str">
        <f xml:space="preserve"> REPT(" ",19-LEN(TEXT(EXI_beam_diff!K17,"0.000000E+00")))  &amp;   TEXT(EXI_beam_diff!K17,"0.000000E+00")</f>
        <v xml:space="preserve">       2.626725E+07</v>
      </c>
      <c r="L17" s="230" t="str">
        <f xml:space="preserve"> REPT(" ",19-LEN(TEXT(EXI_beam_diff!L17,"0.000000E+00")))  &amp;   TEXT(EXI_beam_diff!L17,"0.000000E+00")</f>
        <v xml:space="preserve">       4.542474E+04</v>
      </c>
      <c r="M17" s="230" t="str">
        <f xml:space="preserve"> REPT(" ",19-LEN(TEXT(EXI_beam_diff!M17,"0.000000E+00")))  &amp;   TEXT(EXI_beam_diff!M17,"0.000000E+00")</f>
        <v xml:space="preserve">      -2.847774E+04</v>
      </c>
      <c r="N17" s="230" t="str">
        <f xml:space="preserve"> REPT(" ",19-LEN(TEXT(EXI_beam_diff!N17,"0.000000E+00")))  &amp;   TEXT(EXI_beam_diff!N17,"0.000000E+00")</f>
        <v xml:space="preserve">       1.033895E+03</v>
      </c>
      <c r="O17" s="230" t="str">
        <f xml:space="preserve"> REPT(" ",19-LEN(TEXT(EXI_beam_diff!O17,"0.000000E+00")))  &amp;   TEXT(EXI_beam_diff!O17,"0.000000E+00")</f>
        <v xml:space="preserve">       1.114174E+04</v>
      </c>
      <c r="P17" s="230" t="str">
        <f xml:space="preserve"> REPT(" ",19-LEN(TEXT(EXI_beam_diff!P17,"0.000000E+00")))  &amp;   TEXT(EXI_beam_diff!P17,"0.000000E+00")</f>
        <v xml:space="preserve">      -9.754289E+02</v>
      </c>
      <c r="Q17" s="230" t="str">
        <f xml:space="preserve"> REPT(" ",19-LEN(TEXT(EXI_beam_diff!Q17,"0.000000E+00")))  &amp;   TEXT(EXI_beam_diff!Q17,"0.000000E+00")</f>
        <v xml:space="preserve">       5.738565E+02</v>
      </c>
      <c r="R17" s="230" t="str">
        <f xml:space="preserve"> REPT(" ",19-LEN(TEXT(EXI_beam_diff!R17,"0.000000E+00")))  &amp;   TEXT(EXI_beam_diff!R17,"0.000000E+00")</f>
        <v xml:space="preserve">       1.067507E+06</v>
      </c>
      <c r="S17" s="230" t="str">
        <f xml:space="preserve"> REPT(" ",19-LEN(TEXT(EXI_beam_diff!S17,"0.000000E+00")))  &amp;   TEXT(EXI_beam_diff!S17,"0.000000E+00")</f>
        <v xml:space="preserve">       9.460585E+05</v>
      </c>
      <c r="T17" s="230" t="str">
        <f xml:space="preserve"> REPT(" ",19-LEN(TEXT(EXI_beam_diff!T17,"0.000000E+00")))  &amp;   TEXT(EXI_beam_diff!T17,"0.000000E+00")</f>
        <v xml:space="preserve">       2.914886E+03</v>
      </c>
      <c r="U17" s="230" t="str">
        <f xml:space="preserve"> REPT(" ",19-LEN(TEXT(EXI_beam_diff!U17,"0.000000E+00")))  &amp;   TEXT(EXI_beam_diff!U17,"0.000000E+00")</f>
        <v xml:space="preserve">       1.179536E+03</v>
      </c>
      <c r="V17" s="230" t="str">
        <f xml:space="preserve"> REPT(" ",8-LEN(TEXT(EXI_beam_diff!V17,"0.0000")))  &amp;  TEXT(EXI_beam_diff!V17,"0.0000")</f>
        <v xml:space="preserve">  0.6703</v>
      </c>
      <c r="AG17" s="1"/>
    </row>
    <row r="18" spans="1:33">
      <c r="A18" s="230" t="str">
        <f>REPT(" ",5-LEN(TEXT(EXI_beam_diff!A18,"###"))) &amp; TEXT(EXI_beam_diff!A18,"###")</f>
        <v xml:space="preserve">    8</v>
      </c>
      <c r="B18" s="230" t="str">
        <f xml:space="preserve"> REPT(" ",8-LEN(TEXT(EXI_beam_diff!B18,"0.0000")))  &amp;  TEXT(EXI_beam_diff!B18,"0.0000")</f>
        <v xml:space="preserve">  0.6703</v>
      </c>
      <c r="C18" s="230" t="str">
        <f xml:space="preserve"> REPT(" ",8-LEN(TEXT(EXI_beam_diff!C18,"0.0000")))  &amp;  TEXT(EXI_beam_diff!C18,"0.0000")</f>
        <v xml:space="preserve">  0.0000</v>
      </c>
      <c r="D18" s="230" t="str">
        <f xml:space="preserve"> REPT(" ",8-LEN(TEXT(EXI_beam_diff!D18,"0.0000")))  &amp;  TEXT(EXI_beam_diff!D18,"0.0000")</f>
        <v xml:space="preserve">  0.0000</v>
      </c>
      <c r="E18" s="230" t="str">
        <f xml:space="preserve"> REPT(" ",19-LEN(TEXT(EXI_beam_diff!E18,"0.000000E+00")))  &amp;   TEXT(EXI_beam_diff!E18,"0.000000E+00")</f>
        <v xml:space="preserve">       1.307644E+00</v>
      </c>
      <c r="F18" s="230" t="str">
        <f xml:space="preserve"> REPT(" ",8-LEN(TEXT(EXI_beam_diff!F18,"0.0000")))  &amp;  TEXT(EXI_beam_diff!F18,"0.0000")</f>
        <v xml:space="preserve">  0.0043</v>
      </c>
      <c r="G18" s="230" t="str">
        <f xml:space="preserve"> REPT(" ",8-LEN(TEXT(EXI_beam_diff!G18,"0.0000")))  &amp;  TEXT(EXI_beam_diff!G18,"0.0000")</f>
        <v xml:space="preserve">  0.0021</v>
      </c>
      <c r="H18" s="230" t="str">
        <f xml:space="preserve"> REPT(" ",19-LEN(TEXT(EXI_beam_diff!H18,"0.000000E+00")))  &amp;   TEXT(EXI_beam_diff!H18,"0.000000E+00")</f>
        <v xml:space="preserve">       4.283549E-05</v>
      </c>
      <c r="I18" s="230" t="str">
        <f xml:space="preserve"> REPT(" ",19-LEN(TEXT(EXI_beam_diff!I18,"0.000000E+00")))  &amp;   TEXT(EXI_beam_diff!I18,"0.000000E+00")</f>
        <v xml:space="preserve">       1.500884E-03</v>
      </c>
      <c r="J18" s="230" t="str">
        <f xml:space="preserve"> REPT(" ",19-LEN(TEXT(EXI_beam_diff!J18,"0.000000E+00")))  &amp;   TEXT(EXI_beam_diff!J18,"0.000000E+00")</f>
        <v xml:space="preserve">      -1.074515E-04</v>
      </c>
      <c r="K18" s="230" t="str">
        <f xml:space="preserve"> REPT(" ",19-LEN(TEXT(EXI_beam_diff!K18,"0.000000E+00")))  &amp;   TEXT(EXI_beam_diff!K18,"0.000000E+00")</f>
        <v xml:space="preserve">       2.626725E+07</v>
      </c>
      <c r="L18" s="230" t="str">
        <f xml:space="preserve"> REPT(" ",19-LEN(TEXT(EXI_beam_diff!L18,"0.000000E+00")))  &amp;   TEXT(EXI_beam_diff!L18,"0.000000E+00")</f>
        <v xml:space="preserve">       4.542474E+04</v>
      </c>
      <c r="M18" s="230" t="str">
        <f xml:space="preserve"> REPT(" ",19-LEN(TEXT(EXI_beam_diff!M18,"0.000000E+00")))  &amp;   TEXT(EXI_beam_diff!M18,"0.000000E+00")</f>
        <v xml:space="preserve">      -2.847774E+04</v>
      </c>
      <c r="N18" s="230" t="str">
        <f xml:space="preserve"> REPT(" ",19-LEN(TEXT(EXI_beam_diff!N18,"0.000000E+00")))  &amp;   TEXT(EXI_beam_diff!N18,"0.000000E+00")</f>
        <v xml:space="preserve">       1.033895E+03</v>
      </c>
      <c r="O18" s="230" t="str">
        <f xml:space="preserve"> REPT(" ",19-LEN(TEXT(EXI_beam_diff!O18,"0.000000E+00")))  &amp;   TEXT(EXI_beam_diff!O18,"0.000000E+00")</f>
        <v xml:space="preserve">       1.114174E+04</v>
      </c>
      <c r="P18" s="230" t="str">
        <f xml:space="preserve"> REPT(" ",19-LEN(TEXT(EXI_beam_diff!P18,"0.000000E+00")))  &amp;   TEXT(EXI_beam_diff!P18,"0.000000E+00")</f>
        <v xml:space="preserve">      -9.754289E+02</v>
      </c>
      <c r="Q18" s="230" t="str">
        <f xml:space="preserve"> REPT(" ",19-LEN(TEXT(EXI_beam_diff!Q18,"0.000000E+00")))  &amp;   TEXT(EXI_beam_diff!Q18,"0.000000E+00")</f>
        <v xml:space="preserve">       5.738565E+02</v>
      </c>
      <c r="R18" s="230" t="str">
        <f xml:space="preserve"> REPT(" ",19-LEN(TEXT(EXI_beam_diff!R18,"0.000000E+00")))  &amp;   TEXT(EXI_beam_diff!R18,"0.000000E+00")</f>
        <v xml:space="preserve">       1.067507E+06</v>
      </c>
      <c r="S18" s="230" t="str">
        <f xml:space="preserve"> REPT(" ",19-LEN(TEXT(EXI_beam_diff!S18,"0.000000E+00")))  &amp;   TEXT(EXI_beam_diff!S18,"0.000000E+00")</f>
        <v xml:space="preserve">       9.460585E+05</v>
      </c>
      <c r="T18" s="230" t="str">
        <f xml:space="preserve"> REPT(" ",19-LEN(TEXT(EXI_beam_diff!T18,"0.000000E+00")))  &amp;   TEXT(EXI_beam_diff!T18,"0.000000E+00")</f>
        <v xml:space="preserve">       2.914886E+03</v>
      </c>
      <c r="U18" s="230" t="str">
        <f xml:space="preserve"> REPT(" ",19-LEN(TEXT(EXI_beam_diff!U18,"0.000000E+00")))  &amp;   TEXT(EXI_beam_diff!U18,"0.000000E+00")</f>
        <v xml:space="preserve">       1.179536E+03</v>
      </c>
      <c r="V18" s="230" t="str">
        <f xml:space="preserve"> REPT(" ",8-LEN(TEXT(EXI_beam_diff!V18,"0.0000")))  &amp;  TEXT(EXI_beam_diff!V18,"0.0000")</f>
        <v xml:space="preserve">  0.6703</v>
      </c>
    </row>
    <row r="19" spans="1:33">
      <c r="A19" s="230" t="str">
        <f>REPT(" ",5-LEN(TEXT(EXI_beam_diff!A19,"###"))) &amp; TEXT(EXI_beam_diff!A19,"###")</f>
        <v xml:space="preserve">     </v>
      </c>
      <c r="B19" s="230" t="str">
        <f xml:space="preserve"> REPT(" ",8-LEN(TEXT(EXI_beam_diff!B19,"0.0000")))  &amp;  TEXT(EXI_beam_diff!B19,"0.0000")</f>
        <v xml:space="preserve">  0.7542</v>
      </c>
      <c r="C19" s="230" t="str">
        <f xml:space="preserve"> REPT(" ",8-LEN(TEXT(EXI_beam_diff!C19,"0.0000")))  &amp;  TEXT(EXI_beam_diff!C19,"0.0000")</f>
        <v xml:space="preserve">  0.0000</v>
      </c>
      <c r="D19" s="230" t="str">
        <f xml:space="preserve"> REPT(" ",8-LEN(TEXT(EXI_beam_diff!D19,"0.0000")))  &amp;  TEXT(EXI_beam_diff!D19,"0.0000")</f>
        <v xml:space="preserve">  0.0000</v>
      </c>
      <c r="E19" s="230" t="str">
        <f xml:space="preserve"> REPT(" ",19-LEN(TEXT(EXI_beam_diff!E19,"0.000000E+00")))  &amp;   TEXT(EXI_beam_diff!E19,"0.000000E+00")</f>
        <v xml:space="preserve">       1.392676E+00</v>
      </c>
      <c r="F19" s="230" t="str">
        <f xml:space="preserve"> REPT(" ",8-LEN(TEXT(EXI_beam_diff!F19,"0.0000")))  &amp;  TEXT(EXI_beam_diff!F19,"0.0000")</f>
        <v xml:space="preserve"> -0.0012</v>
      </c>
      <c r="G19" s="230" t="str">
        <f xml:space="preserve"> REPT(" ",8-LEN(TEXT(EXI_beam_diff!G19,"0.0000")))  &amp;  TEXT(EXI_beam_diff!G19,"0.0000")</f>
        <v xml:space="preserve">  0.0013</v>
      </c>
      <c r="H19" s="230" t="str">
        <f xml:space="preserve"> REPT(" ",19-LEN(TEXT(EXI_beam_diff!H19,"0.000000E+00")))  &amp;   TEXT(EXI_beam_diff!H19,"0.000000E+00")</f>
        <v xml:space="preserve">       4.048129E-05</v>
      </c>
      <c r="I19" s="230" t="str">
        <f xml:space="preserve"> REPT(" ",19-LEN(TEXT(EXI_beam_diff!I19,"0.000000E+00")))  &amp;   TEXT(EXI_beam_diff!I19,"0.000000E+00")</f>
        <v xml:space="preserve">       1.498574E-03</v>
      </c>
      <c r="J19" s="230" t="str">
        <f xml:space="preserve"> REPT(" ",19-LEN(TEXT(EXI_beam_diff!J19,"0.000000E+00")))  &amp;   TEXT(EXI_beam_diff!J19,"0.000000E+00")</f>
        <v xml:space="preserve">      -1.185802E-04</v>
      </c>
      <c r="K19" s="230" t="str">
        <f xml:space="preserve"> REPT(" ",19-LEN(TEXT(EXI_beam_diff!K19,"0.000000E+00")))  &amp;   TEXT(EXI_beam_diff!K19,"0.000000E+00")</f>
        <v xml:space="preserve">       2.439230E+07</v>
      </c>
      <c r="L19" s="230" t="str">
        <f xml:space="preserve"> REPT(" ",19-LEN(TEXT(EXI_beam_diff!L19,"0.000000E+00")))  &amp;   TEXT(EXI_beam_diff!L19,"0.000000E+00")</f>
        <v xml:space="preserve">       4.832603E+04</v>
      </c>
      <c r="M19" s="230" t="str">
        <f xml:space="preserve"> REPT(" ",19-LEN(TEXT(EXI_beam_diff!M19,"0.000000E+00")))  &amp;   TEXT(EXI_beam_diff!M19,"0.000000E+00")</f>
        <v xml:space="preserve">      -2.570621E+04</v>
      </c>
      <c r="N19" s="230" t="str">
        <f xml:space="preserve"> REPT(" ",19-LEN(TEXT(EXI_beam_diff!N19,"0.000000E+00")))  &amp;   TEXT(EXI_beam_diff!N19,"0.000000E+00")</f>
        <v xml:space="preserve">       1.039169E+03</v>
      </c>
      <c r="O19" s="230" t="str">
        <f xml:space="preserve"> REPT(" ",19-LEN(TEXT(EXI_beam_diff!O19,"0.000000E+00")))  &amp;   TEXT(EXI_beam_diff!O19,"0.000000E+00")</f>
        <v xml:space="preserve">       1.071895E+04</v>
      </c>
      <c r="P19" s="230" t="str">
        <f xml:space="preserve"> REPT(" ",19-LEN(TEXT(EXI_beam_diff!P19,"0.000000E+00")))  &amp;   TEXT(EXI_beam_diff!P19,"0.000000E+00")</f>
        <v xml:space="preserve">      -7.944692E+02</v>
      </c>
      <c r="Q19" s="230" t="str">
        <f xml:space="preserve"> REPT(" ",19-LEN(TEXT(EXI_beam_diff!Q19,"0.000000E+00")))  &amp;   TEXT(EXI_beam_diff!Q19,"0.000000E+00")</f>
        <v xml:space="preserve">       6.170237E+02</v>
      </c>
      <c r="R19" s="230" t="str">
        <f xml:space="preserve"> REPT(" ",19-LEN(TEXT(EXI_beam_diff!R19,"0.000000E+00")))  &amp;   TEXT(EXI_beam_diff!R19,"0.000000E+00")</f>
        <v xml:space="preserve">       1.113379E+06</v>
      </c>
      <c r="S19" s="230" t="str">
        <f xml:space="preserve"> REPT(" ",19-LEN(TEXT(EXI_beam_diff!S19,"0.000000E+00")))  &amp;   TEXT(EXI_beam_diff!S19,"0.000000E+00")</f>
        <v xml:space="preserve">       9.863377E+05</v>
      </c>
      <c r="T19" s="230" t="str">
        <f xml:space="preserve"> REPT(" ",19-LEN(TEXT(EXI_beam_diff!T19,"0.000000E+00")))  &amp;   TEXT(EXI_beam_diff!T19,"0.000000E+00")</f>
        <v xml:space="preserve">       3.188762E+03</v>
      </c>
      <c r="U19" s="230" t="str">
        <f xml:space="preserve"> REPT(" ",19-LEN(TEXT(EXI_beam_diff!U19,"0.000000E+00")))  &amp;   TEXT(EXI_beam_diff!U19,"0.000000E+00")</f>
        <v xml:space="preserve">       9.366488E+02</v>
      </c>
      <c r="V19" s="230" t="str">
        <f xml:space="preserve"> REPT(" ",8-LEN(TEXT(EXI_beam_diff!V19,"0.0000")))  &amp;  TEXT(EXI_beam_diff!V19,"0.0000")</f>
        <v xml:space="preserve">  0.7542</v>
      </c>
      <c r="AG19" s="1"/>
    </row>
    <row r="20" spans="1:33">
      <c r="A20" s="230" t="str">
        <f>REPT(" ",5-LEN(TEXT(EXI_beam_diff!A20,"###"))) &amp; TEXT(EXI_beam_diff!A20,"###")</f>
        <v xml:space="preserve">    9</v>
      </c>
      <c r="B20" s="230" t="str">
        <f xml:space="preserve"> REPT(" ",8-LEN(TEXT(EXI_beam_diff!B20,"0.0000")))  &amp;  TEXT(EXI_beam_diff!B20,"0.0000")</f>
        <v xml:space="preserve">  0.7542</v>
      </c>
      <c r="C20" s="230" t="str">
        <f xml:space="preserve"> REPT(" ",8-LEN(TEXT(EXI_beam_diff!C20,"0.0000")))  &amp;  TEXT(EXI_beam_diff!C20,"0.0000")</f>
        <v xml:space="preserve">  0.0000</v>
      </c>
      <c r="D20" s="230" t="str">
        <f xml:space="preserve"> REPT(" ",8-LEN(TEXT(EXI_beam_diff!D20,"0.0000")))  &amp;  TEXT(EXI_beam_diff!D20,"0.0000")</f>
        <v xml:space="preserve">  0.0000</v>
      </c>
      <c r="E20" s="230" t="str">
        <f xml:space="preserve"> REPT(" ",19-LEN(TEXT(EXI_beam_diff!E20,"0.000000E+00")))  &amp;   TEXT(EXI_beam_diff!E20,"0.000000E+00")</f>
        <v xml:space="preserve">       1.392676E+00</v>
      </c>
      <c r="F20" s="230" t="str">
        <f xml:space="preserve"> REPT(" ",8-LEN(TEXT(EXI_beam_diff!F20,"0.0000")))  &amp;  TEXT(EXI_beam_diff!F20,"0.0000")</f>
        <v xml:space="preserve"> -0.0012</v>
      </c>
      <c r="G20" s="230" t="str">
        <f xml:space="preserve"> REPT(" ",8-LEN(TEXT(EXI_beam_diff!G20,"0.0000")))  &amp;  TEXT(EXI_beam_diff!G20,"0.0000")</f>
        <v xml:space="preserve">  0.0013</v>
      </c>
      <c r="H20" s="230" t="str">
        <f xml:space="preserve"> REPT(" ",19-LEN(TEXT(EXI_beam_diff!H20,"0.000000E+00")))  &amp;   TEXT(EXI_beam_diff!H20,"0.000000E+00")</f>
        <v xml:space="preserve">       4.048129E-05</v>
      </c>
      <c r="I20" s="230" t="str">
        <f xml:space="preserve"> REPT(" ",19-LEN(TEXT(EXI_beam_diff!I20,"0.000000E+00")))  &amp;   TEXT(EXI_beam_diff!I20,"0.000000E+00")</f>
        <v xml:space="preserve">       1.498574E-03</v>
      </c>
      <c r="J20" s="230" t="str">
        <f xml:space="preserve"> REPT(" ",19-LEN(TEXT(EXI_beam_diff!J20,"0.000000E+00")))  &amp;   TEXT(EXI_beam_diff!J20,"0.000000E+00")</f>
        <v xml:space="preserve">      -1.185802E-04</v>
      </c>
      <c r="K20" s="230" t="str">
        <f xml:space="preserve"> REPT(" ",19-LEN(TEXT(EXI_beam_diff!K20,"0.000000E+00")))  &amp;   TEXT(EXI_beam_diff!K20,"0.000000E+00")</f>
        <v xml:space="preserve">       2.439230E+07</v>
      </c>
      <c r="L20" s="230" t="str">
        <f xml:space="preserve"> REPT(" ",19-LEN(TEXT(EXI_beam_diff!L20,"0.000000E+00")))  &amp;   TEXT(EXI_beam_diff!L20,"0.000000E+00")</f>
        <v xml:space="preserve">       4.832603E+04</v>
      </c>
      <c r="M20" s="230" t="str">
        <f xml:space="preserve"> REPT(" ",19-LEN(TEXT(EXI_beam_diff!M20,"0.000000E+00")))  &amp;   TEXT(EXI_beam_diff!M20,"0.000000E+00")</f>
        <v xml:space="preserve">      -2.570621E+04</v>
      </c>
      <c r="N20" s="230" t="str">
        <f xml:space="preserve"> REPT(" ",19-LEN(TEXT(EXI_beam_diff!N20,"0.000000E+00")))  &amp;   TEXT(EXI_beam_diff!N20,"0.000000E+00")</f>
        <v xml:space="preserve">       1.039169E+03</v>
      </c>
      <c r="O20" s="230" t="str">
        <f xml:space="preserve"> REPT(" ",19-LEN(TEXT(EXI_beam_diff!O20,"0.000000E+00")))  &amp;   TEXT(EXI_beam_diff!O20,"0.000000E+00")</f>
        <v xml:space="preserve">       1.071895E+04</v>
      </c>
      <c r="P20" s="230" t="str">
        <f xml:space="preserve"> REPT(" ",19-LEN(TEXT(EXI_beam_diff!P20,"0.000000E+00")))  &amp;   TEXT(EXI_beam_diff!P20,"0.000000E+00")</f>
        <v xml:space="preserve">      -7.944692E+02</v>
      </c>
      <c r="Q20" s="230" t="str">
        <f xml:space="preserve"> REPT(" ",19-LEN(TEXT(EXI_beam_diff!Q20,"0.000000E+00")))  &amp;   TEXT(EXI_beam_diff!Q20,"0.000000E+00")</f>
        <v xml:space="preserve">       6.170237E+02</v>
      </c>
      <c r="R20" s="230" t="str">
        <f xml:space="preserve"> REPT(" ",19-LEN(TEXT(EXI_beam_diff!R20,"0.000000E+00")))  &amp;   TEXT(EXI_beam_diff!R20,"0.000000E+00")</f>
        <v xml:space="preserve">       1.113379E+06</v>
      </c>
      <c r="S20" s="230" t="str">
        <f xml:space="preserve"> REPT(" ",19-LEN(TEXT(EXI_beam_diff!S20,"0.000000E+00")))  &amp;   TEXT(EXI_beam_diff!S20,"0.000000E+00")</f>
        <v xml:space="preserve">       9.863377E+05</v>
      </c>
      <c r="T20" s="230" t="str">
        <f xml:space="preserve"> REPT(" ",19-LEN(TEXT(EXI_beam_diff!T20,"0.000000E+00")))  &amp;   TEXT(EXI_beam_diff!T20,"0.000000E+00")</f>
        <v xml:space="preserve">       3.188762E+03</v>
      </c>
      <c r="U20" s="230" t="str">
        <f xml:space="preserve"> REPT(" ",19-LEN(TEXT(EXI_beam_diff!U20,"0.000000E+00")))  &amp;   TEXT(EXI_beam_diff!U20,"0.000000E+00")</f>
        <v xml:space="preserve">       9.366488E+02</v>
      </c>
      <c r="V20" s="230" t="str">
        <f xml:space="preserve"> REPT(" ",8-LEN(TEXT(EXI_beam_diff!V20,"0.0000")))  &amp;  TEXT(EXI_beam_diff!V20,"0.0000")</f>
        <v xml:space="preserve">  0.7542</v>
      </c>
    </row>
    <row r="21" spans="1:33">
      <c r="A21" s="230" t="str">
        <f>REPT(" ",5-LEN(TEXT(EXI_beam_diff!A21,"###"))) &amp; TEXT(EXI_beam_diff!A21,"###")</f>
        <v xml:space="preserve">     </v>
      </c>
      <c r="B21" s="230" t="str">
        <f xml:space="preserve"> REPT(" ",8-LEN(TEXT(EXI_beam_diff!B21,"0.0000")))  &amp;  TEXT(EXI_beam_diff!B21,"0.0000")</f>
        <v xml:space="preserve">  0.8382</v>
      </c>
      <c r="C21" s="230" t="str">
        <f xml:space="preserve"> REPT(" ",8-LEN(TEXT(EXI_beam_diff!C21,"0.0000")))  &amp;  TEXT(EXI_beam_diff!C21,"0.0000")</f>
        <v xml:space="preserve">  0.0000</v>
      </c>
      <c r="D21" s="230" t="str">
        <f xml:space="preserve"> REPT(" ",8-LEN(TEXT(EXI_beam_diff!D21,"0.0000")))  &amp;  TEXT(EXI_beam_diff!D21,"0.0000")</f>
        <v xml:space="preserve">  0.0000</v>
      </c>
      <c r="E21" s="230" t="str">
        <f xml:space="preserve"> REPT(" ",19-LEN(TEXT(EXI_beam_diff!E21,"0.000000E+00")))  &amp;   TEXT(EXI_beam_diff!E21,"0.000000E+00")</f>
        <v xml:space="preserve">       1.412167E+00</v>
      </c>
      <c r="F21" s="230" t="str">
        <f xml:space="preserve"> REPT(" ",8-LEN(TEXT(EXI_beam_diff!F21,"0.0000")))  &amp;  TEXT(EXI_beam_diff!F21,"0.0000")</f>
        <v xml:space="preserve"> -0.0014</v>
      </c>
      <c r="G21" s="230" t="str">
        <f xml:space="preserve"> REPT(" ",8-LEN(TEXT(EXI_beam_diff!G21,"0.0000")))  &amp;  TEXT(EXI_beam_diff!G21,"0.0000")</f>
        <v xml:space="preserve">  0.0014</v>
      </c>
      <c r="H21" s="230" t="str">
        <f xml:space="preserve"> REPT(" ",19-LEN(TEXT(EXI_beam_diff!H21,"0.000000E+00")))  &amp;   TEXT(EXI_beam_diff!H21,"0.000000E+00")</f>
        <v xml:space="preserve">       3.672607E-05</v>
      </c>
      <c r="I21" s="230" t="str">
        <f xml:space="preserve"> REPT(" ",19-LEN(TEXT(EXI_beam_diff!I21,"0.000000E+00")))  &amp;   TEXT(EXI_beam_diff!I21,"0.000000E+00")</f>
        <v xml:space="preserve">       1.535740E-03</v>
      </c>
      <c r="J21" s="230" t="str">
        <f xml:space="preserve"> REPT(" ",19-LEN(TEXT(EXI_beam_diff!J21,"0.000000E+00")))  &amp;   TEXT(EXI_beam_diff!J21,"0.000000E+00")</f>
        <v xml:space="preserve">      -9.755784E-05</v>
      </c>
      <c r="K21" s="230" t="str">
        <f xml:space="preserve"> REPT(" ",19-LEN(TEXT(EXI_beam_diff!K21,"0.000000E+00")))  &amp;   TEXT(EXI_beam_diff!K21,"0.000000E+00")</f>
        <v xml:space="preserve">       2.247018E+07</v>
      </c>
      <c r="L21" s="230" t="str">
        <f xml:space="preserve"> REPT(" ",19-LEN(TEXT(EXI_beam_diff!L21,"0.000000E+00")))  &amp;   TEXT(EXI_beam_diff!L21,"0.000000E+00")</f>
        <v xml:space="preserve">       4.548338E+04</v>
      </c>
      <c r="M21" s="230" t="str">
        <f xml:space="preserve"> REPT(" ",19-LEN(TEXT(EXI_beam_diff!M21,"0.000000E+00")))  &amp;   TEXT(EXI_beam_diff!M21,"0.000000E+00")</f>
        <v xml:space="preserve">       1.133444E+03</v>
      </c>
      <c r="N21" s="230" t="str">
        <f xml:space="preserve"> REPT(" ",19-LEN(TEXT(EXI_beam_diff!N21,"0.000000E+00")))  &amp;   TEXT(EXI_beam_diff!N21,"0.000000E+00")</f>
        <v xml:space="preserve">       8.468757E+02</v>
      </c>
      <c r="O21" s="230" t="str">
        <f xml:space="preserve"> REPT(" ",19-LEN(TEXT(EXI_beam_diff!O21,"0.000000E+00")))  &amp;   TEXT(EXI_beam_diff!O21,"0.000000E+00")</f>
        <v xml:space="preserve">       9.768468E+03</v>
      </c>
      <c r="P21" s="230" t="str">
        <f xml:space="preserve"> REPT(" ",19-LEN(TEXT(EXI_beam_diff!P21,"0.000000E+00")))  &amp;   TEXT(EXI_beam_diff!P21,"0.000000E+00")</f>
        <v xml:space="preserve">      -5.380274E+02</v>
      </c>
      <c r="Q21" s="230" t="str">
        <f xml:space="preserve"> REPT(" ",19-LEN(TEXT(EXI_beam_diff!Q21,"0.000000E+00")))  &amp;   TEXT(EXI_beam_diff!Q21,"0.000000E+00")</f>
        <v xml:space="preserve">       5.326076E+02</v>
      </c>
      <c r="R21" s="230" t="str">
        <f xml:space="preserve"> REPT(" ",19-LEN(TEXT(EXI_beam_diff!R21,"0.000000E+00")))  &amp;   TEXT(EXI_beam_diff!R21,"0.000000E+00")</f>
        <v xml:space="preserve">       9.762190E+05</v>
      </c>
      <c r="S21" s="230" t="str">
        <f xml:space="preserve"> REPT(" ",19-LEN(TEXT(EXI_beam_diff!S21,"0.000000E+00")))  &amp;   TEXT(EXI_beam_diff!S21,"0.000000E+00")</f>
        <v xml:space="preserve">       8.645694E+05</v>
      </c>
      <c r="T21" s="230" t="str">
        <f xml:space="preserve"> REPT(" ",19-LEN(TEXT(EXI_beam_diff!T21,"0.000000E+00")))  &amp;   TEXT(EXI_beam_diff!T21,"0.000000E+00")</f>
        <v xml:space="preserve">       2.795129E+03</v>
      </c>
      <c r="U21" s="230" t="str">
        <f xml:space="preserve"> REPT(" ",19-LEN(TEXT(EXI_beam_diff!U21,"0.000000E+00")))  &amp;   TEXT(EXI_beam_diff!U21,"0.000000E+00")</f>
        <v xml:space="preserve">       1.253595E+03</v>
      </c>
      <c r="V21" s="230" t="str">
        <f xml:space="preserve"> REPT(" ",8-LEN(TEXT(EXI_beam_diff!V21,"0.0000")))  &amp;  TEXT(EXI_beam_diff!V21,"0.0000")</f>
        <v xml:space="preserve">  0.8382</v>
      </c>
      <c r="AG21" s="1"/>
    </row>
    <row r="22" spans="1:33">
      <c r="A22" s="230" t="str">
        <f>REPT(" ",5-LEN(TEXT(EXI_beam_diff!A22,"###"))) &amp; TEXT(EXI_beam_diff!A22,"###")</f>
        <v xml:space="preserve">   10</v>
      </c>
      <c r="B22" s="230" t="str">
        <f xml:space="preserve"> REPT(" ",8-LEN(TEXT(EXI_beam_diff!B22,"0.0000")))  &amp;  TEXT(EXI_beam_diff!B22,"0.0000")</f>
        <v xml:space="preserve">  0.8382</v>
      </c>
      <c r="C22" s="230" t="str">
        <f xml:space="preserve"> REPT(" ",8-LEN(TEXT(EXI_beam_diff!C22,"0.0000")))  &amp;  TEXT(EXI_beam_diff!C22,"0.0000")</f>
        <v xml:space="preserve">  0.0000</v>
      </c>
      <c r="D22" s="230" t="str">
        <f xml:space="preserve"> REPT(" ",8-LEN(TEXT(EXI_beam_diff!D22,"0.0000")))  &amp;  TEXT(EXI_beam_diff!D22,"0.0000")</f>
        <v xml:space="preserve">  0.0000</v>
      </c>
      <c r="E22" s="230" t="str">
        <f xml:space="preserve"> REPT(" ",19-LEN(TEXT(EXI_beam_diff!E22,"0.000000E+00")))  &amp;   TEXT(EXI_beam_diff!E22,"0.000000E+00")</f>
        <v xml:space="preserve">       1.412167E+00</v>
      </c>
      <c r="F22" s="230" t="str">
        <f xml:space="preserve"> REPT(" ",8-LEN(TEXT(EXI_beam_diff!F22,"0.0000")))  &amp;  TEXT(EXI_beam_diff!F22,"0.0000")</f>
        <v xml:space="preserve"> -0.0014</v>
      </c>
      <c r="G22" s="230" t="str">
        <f xml:space="preserve"> REPT(" ",8-LEN(TEXT(EXI_beam_diff!G22,"0.0000")))  &amp;  TEXT(EXI_beam_diff!G22,"0.0000")</f>
        <v xml:space="preserve">  0.0014</v>
      </c>
      <c r="H22" s="230" t="str">
        <f xml:space="preserve"> REPT(" ",19-LEN(TEXT(EXI_beam_diff!H22,"0.000000E+00")))  &amp;   TEXT(EXI_beam_diff!H22,"0.000000E+00")</f>
        <v xml:space="preserve">       3.672607E-05</v>
      </c>
      <c r="I22" s="230" t="str">
        <f xml:space="preserve"> REPT(" ",19-LEN(TEXT(EXI_beam_diff!I22,"0.000000E+00")))  &amp;   TEXT(EXI_beam_diff!I22,"0.000000E+00")</f>
        <v xml:space="preserve">       1.535740E-03</v>
      </c>
      <c r="J22" s="230" t="str">
        <f xml:space="preserve"> REPT(" ",19-LEN(TEXT(EXI_beam_diff!J22,"0.000000E+00")))  &amp;   TEXT(EXI_beam_diff!J22,"0.000000E+00")</f>
        <v xml:space="preserve">      -9.755784E-05</v>
      </c>
      <c r="K22" s="230" t="str">
        <f xml:space="preserve"> REPT(" ",19-LEN(TEXT(EXI_beam_diff!K22,"0.000000E+00")))  &amp;   TEXT(EXI_beam_diff!K22,"0.000000E+00")</f>
        <v xml:space="preserve">       2.247018E+07</v>
      </c>
      <c r="L22" s="230" t="str">
        <f xml:space="preserve"> REPT(" ",19-LEN(TEXT(EXI_beam_diff!L22,"0.000000E+00")))  &amp;   TEXT(EXI_beam_diff!L22,"0.000000E+00")</f>
        <v xml:space="preserve">       4.548338E+04</v>
      </c>
      <c r="M22" s="230" t="str">
        <f xml:space="preserve"> REPT(" ",19-LEN(TEXT(EXI_beam_diff!M22,"0.000000E+00")))  &amp;   TEXT(EXI_beam_diff!M22,"0.000000E+00")</f>
        <v xml:space="preserve">       1.133444E+03</v>
      </c>
      <c r="N22" s="230" t="str">
        <f xml:space="preserve"> REPT(" ",19-LEN(TEXT(EXI_beam_diff!N22,"0.000000E+00")))  &amp;   TEXT(EXI_beam_diff!N22,"0.000000E+00")</f>
        <v xml:space="preserve">       8.468757E+02</v>
      </c>
      <c r="O22" s="230" t="str">
        <f xml:space="preserve"> REPT(" ",19-LEN(TEXT(EXI_beam_diff!O22,"0.000000E+00")))  &amp;   TEXT(EXI_beam_diff!O22,"0.000000E+00")</f>
        <v xml:space="preserve">       9.768468E+03</v>
      </c>
      <c r="P22" s="230" t="str">
        <f xml:space="preserve"> REPT(" ",19-LEN(TEXT(EXI_beam_diff!P22,"0.000000E+00")))  &amp;   TEXT(EXI_beam_diff!P22,"0.000000E+00")</f>
        <v xml:space="preserve">      -5.380274E+02</v>
      </c>
      <c r="Q22" s="230" t="str">
        <f xml:space="preserve"> REPT(" ",19-LEN(TEXT(EXI_beam_diff!Q22,"0.000000E+00")))  &amp;   TEXT(EXI_beam_diff!Q22,"0.000000E+00")</f>
        <v xml:space="preserve">       5.326076E+02</v>
      </c>
      <c r="R22" s="230" t="str">
        <f xml:space="preserve"> REPT(" ",19-LEN(TEXT(EXI_beam_diff!R22,"0.000000E+00")))  &amp;   TEXT(EXI_beam_diff!R22,"0.000000E+00")</f>
        <v xml:space="preserve">       9.762190E+05</v>
      </c>
      <c r="S22" s="230" t="str">
        <f xml:space="preserve"> REPT(" ",19-LEN(TEXT(EXI_beam_diff!S22,"0.000000E+00")))  &amp;   TEXT(EXI_beam_diff!S22,"0.000000E+00")</f>
        <v xml:space="preserve">       8.645694E+05</v>
      </c>
      <c r="T22" s="230" t="str">
        <f xml:space="preserve"> REPT(" ",19-LEN(TEXT(EXI_beam_diff!T22,"0.000000E+00")))  &amp;   TEXT(EXI_beam_diff!T22,"0.000000E+00")</f>
        <v xml:space="preserve">       2.795129E+03</v>
      </c>
      <c r="U22" s="230" t="str">
        <f xml:space="preserve"> REPT(" ",19-LEN(TEXT(EXI_beam_diff!U22,"0.000000E+00")))  &amp;   TEXT(EXI_beam_diff!U22,"0.000000E+00")</f>
        <v xml:space="preserve">       1.253595E+03</v>
      </c>
      <c r="V22" s="230" t="str">
        <f xml:space="preserve"> REPT(" ",8-LEN(TEXT(EXI_beam_diff!V22,"0.0000")))  &amp;  TEXT(EXI_beam_diff!V22,"0.0000")</f>
        <v xml:space="preserve">  0.8382</v>
      </c>
    </row>
    <row r="23" spans="1:33">
      <c r="A23" s="230" t="str">
        <f>REPT(" ",5-LEN(TEXT(EXI_beam_diff!A23,"###"))) &amp; TEXT(EXI_beam_diff!A23,"###")</f>
        <v xml:space="preserve">     </v>
      </c>
      <c r="B23" s="230" t="str">
        <f xml:space="preserve"> REPT(" ",8-LEN(TEXT(EXI_beam_diff!B23,"0.0000")))  &amp;  TEXT(EXI_beam_diff!B23,"0.0000")</f>
        <v xml:space="preserve">  0.9232</v>
      </c>
      <c r="C23" s="230" t="str">
        <f xml:space="preserve"> REPT(" ",8-LEN(TEXT(EXI_beam_diff!C23,"0.0000")))  &amp;  TEXT(EXI_beam_diff!C23,"0.0000")</f>
        <v xml:space="preserve">  0.0000</v>
      </c>
      <c r="D23" s="230" t="str">
        <f xml:space="preserve"> REPT(" ",8-LEN(TEXT(EXI_beam_diff!D23,"0.0000")))  &amp;  TEXT(EXI_beam_diff!D23,"0.0000")</f>
        <v xml:space="preserve">  0.0000</v>
      </c>
      <c r="E23" s="230" t="str">
        <f xml:space="preserve"> REPT(" ",19-LEN(TEXT(EXI_beam_diff!E23,"0.000000E+00")))  &amp;   TEXT(EXI_beam_diff!E23,"0.000000E+00")</f>
        <v xml:space="preserve">       1.506621E+00</v>
      </c>
      <c r="F23" s="230" t="str">
        <f xml:space="preserve"> REPT(" ",8-LEN(TEXT(EXI_beam_diff!F23,"0.0000")))  &amp;  TEXT(EXI_beam_diff!F23,"0.0000")</f>
        <v xml:space="preserve"> -0.0002</v>
      </c>
      <c r="G23" s="230" t="str">
        <f xml:space="preserve"> REPT(" ",8-LEN(TEXT(EXI_beam_diff!G23,"0.0000")))  &amp;  TEXT(EXI_beam_diff!G23,"0.0000")</f>
        <v xml:space="preserve">  0.0016</v>
      </c>
      <c r="H23" s="230" t="str">
        <f xml:space="preserve"> REPT(" ",19-LEN(TEXT(EXI_beam_diff!H23,"0.000000E+00")))  &amp;   TEXT(EXI_beam_diff!H23,"0.000000E+00")</f>
        <v xml:space="preserve">       3.865995E-05</v>
      </c>
      <c r="I23" s="230" t="str">
        <f xml:space="preserve"> REPT(" ",19-LEN(TEXT(EXI_beam_diff!I23,"0.000000E+00")))  &amp;   TEXT(EXI_beam_diff!I23,"0.000000E+00")</f>
        <v xml:space="preserve">       1.651299E-03</v>
      </c>
      <c r="J23" s="230" t="str">
        <f xml:space="preserve"> REPT(" ",19-LEN(TEXT(EXI_beam_diff!J23,"0.000000E+00")))  &amp;   TEXT(EXI_beam_diff!J23,"0.000000E+00")</f>
        <v xml:space="preserve">      -1.026887E-04</v>
      </c>
      <c r="K23" s="230" t="str">
        <f xml:space="preserve"> REPT(" ",19-LEN(TEXT(EXI_beam_diff!K23,"0.000000E+00")))  &amp;   TEXT(EXI_beam_diff!K23,"0.000000E+00")</f>
        <v xml:space="preserve">       2.107741E+07</v>
      </c>
      <c r="L23" s="230" t="str">
        <f xml:space="preserve"> REPT(" ",19-LEN(TEXT(EXI_beam_diff!L23,"0.000000E+00")))  &amp;   TEXT(EXI_beam_diff!L23,"0.000000E+00")</f>
        <v xml:space="preserve">       4.542006E+04</v>
      </c>
      <c r="M23" s="230" t="str">
        <f xml:space="preserve"> REPT(" ",19-LEN(TEXT(EXI_beam_diff!M23,"0.000000E+00")))  &amp;   TEXT(EXI_beam_diff!M23,"0.000000E+00")</f>
        <v xml:space="preserve">       4.649080E+04</v>
      </c>
      <c r="N23" s="230" t="str">
        <f xml:space="preserve"> REPT(" ",19-LEN(TEXT(EXI_beam_diff!N23,"0.000000E+00")))  &amp;   TEXT(EXI_beam_diff!N23,"0.000000E+00")</f>
        <v xml:space="preserve">       5.379101E+02</v>
      </c>
      <c r="O23" s="230" t="str">
        <f xml:space="preserve"> REPT(" ",19-LEN(TEXT(EXI_beam_diff!O23,"0.000000E+00")))  &amp;   TEXT(EXI_beam_diff!O23,"0.000000E+00")</f>
        <v xml:space="preserve">       8.526855E+03</v>
      </c>
      <c r="P23" s="230" t="str">
        <f xml:space="preserve"> REPT(" ",19-LEN(TEXT(EXI_beam_diff!P23,"0.000000E+00")))  &amp;   TEXT(EXI_beam_diff!P23,"0.000000E+00")</f>
        <v xml:space="preserve">      -2.225764E+02</v>
      </c>
      <c r="Q23" s="230" t="str">
        <f xml:space="preserve"> REPT(" ",19-LEN(TEXT(EXI_beam_diff!Q23,"0.000000E+00")))  &amp;   TEXT(EXI_beam_diff!Q23,"0.000000E+00")</f>
        <v xml:space="preserve">       3.324364E+02</v>
      </c>
      <c r="R23" s="230" t="str">
        <f xml:space="preserve"> REPT(" ",19-LEN(TEXT(EXI_beam_diff!R23,"0.000000E+00")))  &amp;   TEXT(EXI_beam_diff!R23,"0.000000E+00")</f>
        <v xml:space="preserve">       6.853977E+05</v>
      </c>
      <c r="S23" s="230" t="str">
        <f xml:space="preserve"> REPT(" ",19-LEN(TEXT(EXI_beam_diff!S23,"0.000000E+00")))  &amp;   TEXT(EXI_beam_diff!S23,"0.000000E+00")</f>
        <v xml:space="preserve">       6.068219E+05</v>
      </c>
      <c r="T23" s="230" t="str">
        <f xml:space="preserve"> REPT(" ",19-LEN(TEXT(EXI_beam_diff!T23,"0.000000E+00")))  &amp;   TEXT(EXI_beam_diff!T23,"0.000000E+00")</f>
        <v xml:space="preserve">       2.066564E+03</v>
      </c>
      <c r="U23" s="230" t="str">
        <f xml:space="preserve"> REPT(" ",19-LEN(TEXT(EXI_beam_diff!U23,"0.000000E+00")))  &amp;   TEXT(EXI_beam_diff!U23,"0.000000E+00")</f>
        <v xml:space="preserve">       1.827557E+03</v>
      </c>
      <c r="V23" s="230" t="str">
        <f xml:space="preserve"> REPT(" ",8-LEN(TEXT(EXI_beam_diff!V23,"0.0000")))  &amp;  TEXT(EXI_beam_diff!V23,"0.0000")</f>
        <v xml:space="preserve">  0.9232</v>
      </c>
      <c r="AG23" s="1"/>
    </row>
    <row r="24" spans="1:33">
      <c r="A24" s="230" t="str">
        <f>REPT(" ",5-LEN(TEXT(EXI_beam_diff!A24,"###"))) &amp; TEXT(EXI_beam_diff!A24,"###")</f>
        <v xml:space="preserve">   11</v>
      </c>
      <c r="B24" s="230" t="str">
        <f xml:space="preserve"> REPT(" ",8-LEN(TEXT(EXI_beam_diff!B24,"0.0000")))  &amp;  TEXT(EXI_beam_diff!B24,"0.0000")</f>
        <v xml:space="preserve">  0.9232</v>
      </c>
      <c r="C24" s="230" t="str">
        <f xml:space="preserve"> REPT(" ",8-LEN(TEXT(EXI_beam_diff!C24,"0.0000")))  &amp;  TEXT(EXI_beam_diff!C24,"0.0000")</f>
        <v xml:space="preserve">  0.0000</v>
      </c>
      <c r="D24" s="230" t="str">
        <f xml:space="preserve"> REPT(" ",8-LEN(TEXT(EXI_beam_diff!D24,"0.0000")))  &amp;  TEXT(EXI_beam_diff!D24,"0.0000")</f>
        <v xml:space="preserve">  0.0000</v>
      </c>
      <c r="E24" s="230" t="str">
        <f xml:space="preserve"> REPT(" ",19-LEN(TEXT(EXI_beam_diff!E24,"0.000000E+00")))  &amp;   TEXT(EXI_beam_diff!E24,"0.000000E+00")</f>
        <v xml:space="preserve">       1.506621E+00</v>
      </c>
      <c r="F24" s="230" t="str">
        <f xml:space="preserve"> REPT(" ",8-LEN(TEXT(EXI_beam_diff!F24,"0.0000")))  &amp;  TEXT(EXI_beam_diff!F24,"0.0000")</f>
        <v xml:space="preserve"> -0.0002</v>
      </c>
      <c r="G24" s="230" t="str">
        <f xml:space="preserve"> REPT(" ",8-LEN(TEXT(EXI_beam_diff!G24,"0.0000")))  &amp;  TEXT(EXI_beam_diff!G24,"0.0000")</f>
        <v xml:space="preserve">  0.0016</v>
      </c>
      <c r="H24" s="230" t="str">
        <f xml:space="preserve"> REPT(" ",19-LEN(TEXT(EXI_beam_diff!H24,"0.000000E+00")))  &amp;   TEXT(EXI_beam_diff!H24,"0.000000E+00")</f>
        <v xml:space="preserve">       3.865995E-05</v>
      </c>
      <c r="I24" s="230" t="str">
        <f xml:space="preserve"> REPT(" ",19-LEN(TEXT(EXI_beam_diff!I24,"0.000000E+00")))  &amp;   TEXT(EXI_beam_diff!I24,"0.000000E+00")</f>
        <v xml:space="preserve">       1.651299E-03</v>
      </c>
      <c r="J24" s="230" t="str">
        <f xml:space="preserve"> REPT(" ",19-LEN(TEXT(EXI_beam_diff!J24,"0.000000E+00")))  &amp;   TEXT(EXI_beam_diff!J24,"0.000000E+00")</f>
        <v xml:space="preserve">      -1.026887E-04</v>
      </c>
      <c r="K24" s="230" t="str">
        <f xml:space="preserve"> REPT(" ",19-LEN(TEXT(EXI_beam_diff!K24,"0.000000E+00")))  &amp;   TEXT(EXI_beam_diff!K24,"0.000000E+00")</f>
        <v xml:space="preserve">       2.107741E+07</v>
      </c>
      <c r="L24" s="230" t="str">
        <f xml:space="preserve"> REPT(" ",19-LEN(TEXT(EXI_beam_diff!L24,"0.000000E+00")))  &amp;   TEXT(EXI_beam_diff!L24,"0.000000E+00")</f>
        <v xml:space="preserve">       4.542006E+04</v>
      </c>
      <c r="M24" s="230" t="str">
        <f xml:space="preserve"> REPT(" ",19-LEN(TEXT(EXI_beam_diff!M24,"0.000000E+00")))  &amp;   TEXT(EXI_beam_diff!M24,"0.000000E+00")</f>
        <v xml:space="preserve">       4.649080E+04</v>
      </c>
      <c r="N24" s="230" t="str">
        <f xml:space="preserve"> REPT(" ",19-LEN(TEXT(EXI_beam_diff!N24,"0.000000E+00")))  &amp;   TEXT(EXI_beam_diff!N24,"0.000000E+00")</f>
        <v xml:space="preserve">       5.379101E+02</v>
      </c>
      <c r="O24" s="230" t="str">
        <f xml:space="preserve"> REPT(" ",19-LEN(TEXT(EXI_beam_diff!O24,"0.000000E+00")))  &amp;   TEXT(EXI_beam_diff!O24,"0.000000E+00")</f>
        <v xml:space="preserve">       8.526855E+03</v>
      </c>
      <c r="P24" s="230" t="str">
        <f xml:space="preserve"> REPT(" ",19-LEN(TEXT(EXI_beam_diff!P24,"0.000000E+00")))  &amp;   TEXT(EXI_beam_diff!P24,"0.000000E+00")</f>
        <v xml:space="preserve">      -2.225764E+02</v>
      </c>
      <c r="Q24" s="230" t="str">
        <f xml:space="preserve"> REPT(" ",19-LEN(TEXT(EXI_beam_diff!Q24,"0.000000E+00")))  &amp;   TEXT(EXI_beam_diff!Q24,"0.000000E+00")</f>
        <v xml:space="preserve">       3.324364E+02</v>
      </c>
      <c r="R24" s="230" t="str">
        <f xml:space="preserve"> REPT(" ",19-LEN(TEXT(EXI_beam_diff!R24,"0.000000E+00")))  &amp;   TEXT(EXI_beam_diff!R24,"0.000000E+00")</f>
        <v xml:space="preserve">       6.853977E+05</v>
      </c>
      <c r="S24" s="230" t="str">
        <f xml:space="preserve"> REPT(" ",19-LEN(TEXT(EXI_beam_diff!S24,"0.000000E+00")))  &amp;   TEXT(EXI_beam_diff!S24,"0.000000E+00")</f>
        <v xml:space="preserve">       6.068219E+05</v>
      </c>
      <c r="T24" s="230" t="str">
        <f xml:space="preserve"> REPT(" ",19-LEN(TEXT(EXI_beam_diff!T24,"0.000000E+00")))  &amp;   TEXT(EXI_beam_diff!T24,"0.000000E+00")</f>
        <v xml:space="preserve">       2.066564E+03</v>
      </c>
      <c r="U24" s="230" t="str">
        <f xml:space="preserve"> REPT(" ",19-LEN(TEXT(EXI_beam_diff!U24,"0.000000E+00")))  &amp;   TEXT(EXI_beam_diff!U24,"0.000000E+00")</f>
        <v xml:space="preserve">       1.827557E+03</v>
      </c>
      <c r="V24" s="230" t="str">
        <f xml:space="preserve"> REPT(" ",8-LEN(TEXT(EXI_beam_diff!V24,"0.0000")))  &amp;  TEXT(EXI_beam_diff!V24,"0.0000")</f>
        <v xml:space="preserve">  0.9232</v>
      </c>
    </row>
    <row r="25" spans="1:33">
      <c r="A25" s="230" t="str">
        <f>REPT(" ",5-LEN(TEXT(EXI_beam_diff!A25,"###"))) &amp; TEXT(EXI_beam_diff!A25,"###")</f>
        <v xml:space="preserve">     </v>
      </c>
      <c r="B25" s="230" t="str">
        <f xml:space="preserve"> REPT(" ",8-LEN(TEXT(EXI_beam_diff!B25,"0.0000")))  &amp;  TEXT(EXI_beam_diff!B25,"0.0000")</f>
        <v xml:space="preserve">  1.0081</v>
      </c>
      <c r="C25" s="230" t="str">
        <f xml:space="preserve"> REPT(" ",8-LEN(TEXT(EXI_beam_diff!C25,"0.0000")))  &amp;  TEXT(EXI_beam_diff!C25,"0.0000")</f>
        <v xml:space="preserve">  0.0000</v>
      </c>
      <c r="D25" s="230" t="str">
        <f xml:space="preserve"> REPT(" ",8-LEN(TEXT(EXI_beam_diff!D25,"0.0000")))  &amp;  TEXT(EXI_beam_diff!D25,"0.0000")</f>
        <v xml:space="preserve">  0.0000</v>
      </c>
      <c r="E25" s="230" t="str">
        <f xml:space="preserve"> REPT(" ",19-LEN(TEXT(EXI_beam_diff!E25,"0.000000E+00")))  &amp;   TEXT(EXI_beam_diff!E25,"0.000000E+00")</f>
        <v xml:space="preserve">       1.507060E+00</v>
      </c>
      <c r="F25" s="230" t="str">
        <f xml:space="preserve"> REPT(" ",8-LEN(TEXT(EXI_beam_diff!F25,"0.0000")))  &amp;  TEXT(EXI_beam_diff!F25,"0.0000")</f>
        <v xml:space="preserve"> -0.0044</v>
      </c>
      <c r="G25" s="230" t="str">
        <f xml:space="preserve"> REPT(" ",8-LEN(TEXT(EXI_beam_diff!G25,"0.0000")))  &amp;  TEXT(EXI_beam_diff!G25,"0.0000")</f>
        <v xml:space="preserve">  0.0012</v>
      </c>
      <c r="H25" s="230" t="str">
        <f xml:space="preserve"> REPT(" ",19-LEN(TEXT(EXI_beam_diff!H25,"0.000000E+00")))  &amp;   TEXT(EXI_beam_diff!H25,"0.000000E+00")</f>
        <v xml:space="preserve">       2.807997E-05</v>
      </c>
      <c r="I25" s="230" t="str">
        <f xml:space="preserve"> REPT(" ",19-LEN(TEXT(EXI_beam_diff!I25,"0.000000E+00")))  &amp;   TEXT(EXI_beam_diff!I25,"0.000000E+00")</f>
        <v xml:space="preserve">       1.611559E-03</v>
      </c>
      <c r="J25" s="230" t="str">
        <f xml:space="preserve"> REPT(" ",19-LEN(TEXT(EXI_beam_diff!J25,"0.000000E+00")))  &amp;   TEXT(EXI_beam_diff!J25,"0.000000E+00")</f>
        <v xml:space="preserve">      -7.138407E-05</v>
      </c>
      <c r="K25" s="230" t="str">
        <f xml:space="preserve"> REPT(" ",19-LEN(TEXT(EXI_beam_diff!K25,"0.000000E+00")))  &amp;   TEXT(EXI_beam_diff!K25,"0.000000E+00")</f>
        <v xml:space="preserve">       2.036209E+07</v>
      </c>
      <c r="L25" s="230" t="str">
        <f xml:space="preserve"> REPT(" ",19-LEN(TEXT(EXI_beam_diff!L25,"0.000000E+00")))  &amp;   TEXT(EXI_beam_diff!L25,"0.000000E+00")</f>
        <v xml:space="preserve">       4.385603E+04</v>
      </c>
      <c r="M25" s="230" t="str">
        <f xml:space="preserve"> REPT(" ",19-LEN(TEXT(EXI_beam_diff!M25,"0.000000E+00")))  &amp;   TEXT(EXI_beam_diff!M25,"0.000000E+00")</f>
        <v xml:space="preserve">       5.682022E+04</v>
      </c>
      <c r="N25" s="230" t="str">
        <f xml:space="preserve"> REPT(" ",19-LEN(TEXT(EXI_beam_diff!N25,"0.000000E+00")))  &amp;   TEXT(EXI_beam_diff!N25,"0.000000E+00")</f>
        <v xml:space="preserve">       4.539166E+02</v>
      </c>
      <c r="O25" s="230" t="str">
        <f xml:space="preserve"> REPT(" ",19-LEN(TEXT(EXI_beam_diff!O25,"0.000000E+00")))  &amp;   TEXT(EXI_beam_diff!O25,"0.000000E+00")</f>
        <v xml:space="preserve">       8.013464E+03</v>
      </c>
      <c r="P25" s="230" t="str">
        <f xml:space="preserve"> REPT(" ",19-LEN(TEXT(EXI_beam_diff!P25,"0.000000E+00")))  &amp;   TEXT(EXI_beam_diff!P25,"0.000000E+00")</f>
        <v xml:space="preserve">      -6.545518E+01</v>
      </c>
      <c r="Q25" s="230" t="str">
        <f xml:space="preserve"> REPT(" ",19-LEN(TEXT(EXI_beam_diff!Q25,"0.000000E+00")))  &amp;   TEXT(EXI_beam_diff!Q25,"0.000000E+00")</f>
        <v xml:space="preserve">       2.797548E+02</v>
      </c>
      <c r="R25" s="230" t="str">
        <f xml:space="preserve"> REPT(" ",19-LEN(TEXT(EXI_beam_diff!R25,"0.000000E+00")))  &amp;   TEXT(EXI_beam_diff!R25,"0.000000E+00")</f>
        <v xml:space="preserve">       6.005271E+05</v>
      </c>
      <c r="S25" s="230" t="str">
        <f xml:space="preserve"> REPT(" ",19-LEN(TEXT(EXI_beam_diff!S25,"0.000000E+00")))  &amp;   TEXT(EXI_beam_diff!S25,"0.000000E+00")</f>
        <v xml:space="preserve">       5.315965E+05</v>
      </c>
      <c r="T25" s="230" t="str">
        <f xml:space="preserve"> REPT(" ",19-LEN(TEXT(EXI_beam_diff!T25,"0.000000E+00")))  &amp;   TEXT(EXI_beam_diff!T25,"0.000000E+00")</f>
        <v xml:space="preserve">       1.725079E+03</v>
      </c>
      <c r="U25" s="230" t="str">
        <f xml:space="preserve"> REPT(" ",19-LEN(TEXT(EXI_beam_diff!U25,"0.000000E+00")))  &amp;   TEXT(EXI_beam_diff!U25,"0.000000E+00")</f>
        <v xml:space="preserve">       1.852946E+03</v>
      </c>
      <c r="V25" s="230" t="str">
        <f xml:space="preserve"> REPT(" ",8-LEN(TEXT(EXI_beam_diff!V25,"0.0000")))  &amp;  TEXT(EXI_beam_diff!V25,"0.0000")</f>
        <v xml:space="preserve">  1.0081</v>
      </c>
      <c r="AG25" s="1"/>
    </row>
    <row r="26" spans="1:33">
      <c r="A26" s="230" t="str">
        <f>REPT(" ",5-LEN(TEXT(EXI_beam_diff!A26,"###"))) &amp; TEXT(EXI_beam_diff!A26,"###")</f>
        <v xml:space="preserve">   12</v>
      </c>
      <c r="B26" s="230" t="str">
        <f xml:space="preserve"> REPT(" ",8-LEN(TEXT(EXI_beam_diff!B26,"0.0000")))  &amp;  TEXT(EXI_beam_diff!B26,"0.0000")</f>
        <v xml:space="preserve">  1.0081</v>
      </c>
      <c r="C26" s="230" t="str">
        <f xml:space="preserve"> REPT(" ",8-LEN(TEXT(EXI_beam_diff!C26,"0.0000")))  &amp;  TEXT(EXI_beam_diff!C26,"0.0000")</f>
        <v xml:space="preserve">  0.0000</v>
      </c>
      <c r="D26" s="230" t="str">
        <f xml:space="preserve"> REPT(" ",8-LEN(TEXT(EXI_beam_diff!D26,"0.0000")))  &amp;  TEXT(EXI_beam_diff!D26,"0.0000")</f>
        <v xml:space="preserve">  0.0000</v>
      </c>
      <c r="E26" s="230" t="str">
        <f xml:space="preserve"> REPT(" ",19-LEN(TEXT(EXI_beam_diff!E26,"0.000000E+00")))  &amp;   TEXT(EXI_beam_diff!E26,"0.000000E+00")</f>
        <v xml:space="preserve">       1.507060E+00</v>
      </c>
      <c r="F26" s="230" t="str">
        <f xml:space="preserve"> REPT(" ",8-LEN(TEXT(EXI_beam_diff!F26,"0.0000")))  &amp;  TEXT(EXI_beam_diff!F26,"0.0000")</f>
        <v xml:space="preserve"> -0.0044</v>
      </c>
      <c r="G26" s="230" t="str">
        <f xml:space="preserve"> REPT(" ",8-LEN(TEXT(EXI_beam_diff!G26,"0.0000")))  &amp;  TEXT(EXI_beam_diff!G26,"0.0000")</f>
        <v xml:space="preserve">  0.0012</v>
      </c>
      <c r="H26" s="230" t="str">
        <f xml:space="preserve"> REPT(" ",19-LEN(TEXT(EXI_beam_diff!H26,"0.000000E+00")))  &amp;   TEXT(EXI_beam_diff!H26,"0.000000E+00")</f>
        <v xml:space="preserve">       2.807997E-05</v>
      </c>
      <c r="I26" s="230" t="str">
        <f xml:space="preserve"> REPT(" ",19-LEN(TEXT(EXI_beam_diff!I26,"0.000000E+00")))  &amp;   TEXT(EXI_beam_diff!I26,"0.000000E+00")</f>
        <v xml:space="preserve">       1.611559E-03</v>
      </c>
      <c r="J26" s="230" t="str">
        <f xml:space="preserve"> REPT(" ",19-LEN(TEXT(EXI_beam_diff!J26,"0.000000E+00")))  &amp;   TEXT(EXI_beam_diff!J26,"0.000000E+00")</f>
        <v xml:space="preserve">      -7.138407E-05</v>
      </c>
      <c r="K26" s="230" t="str">
        <f xml:space="preserve"> REPT(" ",19-LEN(TEXT(EXI_beam_diff!K26,"0.000000E+00")))  &amp;   TEXT(EXI_beam_diff!K26,"0.000000E+00")</f>
        <v xml:space="preserve">       2.036209E+07</v>
      </c>
      <c r="L26" s="230" t="str">
        <f xml:space="preserve"> REPT(" ",19-LEN(TEXT(EXI_beam_diff!L26,"0.000000E+00")))  &amp;   TEXT(EXI_beam_diff!L26,"0.000000E+00")</f>
        <v xml:space="preserve">       4.385603E+04</v>
      </c>
      <c r="M26" s="230" t="str">
        <f xml:space="preserve"> REPT(" ",19-LEN(TEXT(EXI_beam_diff!M26,"0.000000E+00")))  &amp;   TEXT(EXI_beam_diff!M26,"0.000000E+00")</f>
        <v xml:space="preserve">       5.682022E+04</v>
      </c>
      <c r="N26" s="230" t="str">
        <f xml:space="preserve"> REPT(" ",19-LEN(TEXT(EXI_beam_diff!N26,"0.000000E+00")))  &amp;   TEXT(EXI_beam_diff!N26,"0.000000E+00")</f>
        <v xml:space="preserve">       4.539166E+02</v>
      </c>
      <c r="O26" s="230" t="str">
        <f xml:space="preserve"> REPT(" ",19-LEN(TEXT(EXI_beam_diff!O26,"0.000000E+00")))  &amp;   TEXT(EXI_beam_diff!O26,"0.000000E+00")</f>
        <v xml:space="preserve">       8.013464E+03</v>
      </c>
      <c r="P26" s="230" t="str">
        <f xml:space="preserve"> REPT(" ",19-LEN(TEXT(EXI_beam_diff!P26,"0.000000E+00")))  &amp;   TEXT(EXI_beam_diff!P26,"0.000000E+00")</f>
        <v xml:space="preserve">      -6.545518E+01</v>
      </c>
      <c r="Q26" s="230" t="str">
        <f xml:space="preserve"> REPT(" ",19-LEN(TEXT(EXI_beam_diff!Q26,"0.000000E+00")))  &amp;   TEXT(EXI_beam_diff!Q26,"0.000000E+00")</f>
        <v xml:space="preserve">       2.797548E+02</v>
      </c>
      <c r="R26" s="230" t="str">
        <f xml:space="preserve"> REPT(" ",19-LEN(TEXT(EXI_beam_diff!R26,"0.000000E+00")))  &amp;   TEXT(EXI_beam_diff!R26,"0.000000E+00")</f>
        <v xml:space="preserve">       6.005271E+05</v>
      </c>
      <c r="S26" s="230" t="str">
        <f xml:space="preserve"> REPT(" ",19-LEN(TEXT(EXI_beam_diff!S26,"0.000000E+00")))  &amp;   TEXT(EXI_beam_diff!S26,"0.000000E+00")</f>
        <v xml:space="preserve">       5.315965E+05</v>
      </c>
      <c r="T26" s="230" t="str">
        <f xml:space="preserve"> REPT(" ",19-LEN(TEXT(EXI_beam_diff!T26,"0.000000E+00")))  &amp;   TEXT(EXI_beam_diff!T26,"0.000000E+00")</f>
        <v xml:space="preserve">       1.725079E+03</v>
      </c>
      <c r="U26" s="230" t="str">
        <f xml:space="preserve"> REPT(" ",19-LEN(TEXT(EXI_beam_diff!U26,"0.000000E+00")))  &amp;   TEXT(EXI_beam_diff!U26,"0.000000E+00")</f>
        <v xml:space="preserve">       1.852946E+03</v>
      </c>
      <c r="V26" s="230" t="str">
        <f xml:space="preserve"> REPT(" ",8-LEN(TEXT(EXI_beam_diff!V26,"0.0000")))  &amp;  TEXT(EXI_beam_diff!V26,"0.0000")</f>
        <v xml:space="preserve">  1.0081</v>
      </c>
    </row>
    <row r="27" spans="1:33">
      <c r="A27" s="230" t="str">
        <f>REPT(" ",5-LEN(TEXT(EXI_beam_diff!A27,"###"))) &amp; TEXT(EXI_beam_diff!A27,"###")</f>
        <v xml:space="preserve">     </v>
      </c>
      <c r="B27" s="230" t="str">
        <f xml:space="preserve"> REPT(" ",8-LEN(TEXT(EXI_beam_diff!B27,"0.0000")))  &amp;  TEXT(EXI_beam_diff!B27,"0.0000")</f>
        <v xml:space="preserve">  1.0920</v>
      </c>
      <c r="C27" s="230" t="str">
        <f xml:space="preserve"> REPT(" ",8-LEN(TEXT(EXI_beam_diff!C27,"0.0000")))  &amp;  TEXT(EXI_beam_diff!C27,"0.0000")</f>
        <v xml:space="preserve">  0.0000</v>
      </c>
      <c r="D27" s="230" t="str">
        <f xml:space="preserve"> REPT(" ",8-LEN(TEXT(EXI_beam_diff!D27,"0.0000")))  &amp;  TEXT(EXI_beam_diff!D27,"0.0000")</f>
        <v xml:space="preserve">  0.0000</v>
      </c>
      <c r="E27" s="230" t="str">
        <f xml:space="preserve"> REPT(" ",19-LEN(TEXT(EXI_beam_diff!E27,"0.000000E+00")))  &amp;   TEXT(EXI_beam_diff!E27,"0.000000E+00")</f>
        <v xml:space="preserve">       1.418085E+00</v>
      </c>
      <c r="F27" s="230" t="str">
        <f xml:space="preserve"> REPT(" ",8-LEN(TEXT(EXI_beam_diff!F27,"0.0000")))  &amp;  TEXT(EXI_beam_diff!F27,"0.0000")</f>
        <v xml:space="preserve"> -0.0065</v>
      </c>
      <c r="G27" s="230" t="str">
        <f xml:space="preserve"> REPT(" ",8-LEN(TEXT(EXI_beam_diff!G27,"0.0000")))  &amp;  TEXT(EXI_beam_diff!G27,"0.0000")</f>
        <v xml:space="preserve">  0.0011</v>
      </c>
      <c r="H27" s="230" t="str">
        <f xml:space="preserve"> REPT(" ",19-LEN(TEXT(EXI_beam_diff!H27,"0.000000E+00")))  &amp;   TEXT(EXI_beam_diff!H27,"0.000000E+00")</f>
        <v xml:space="preserve">       1.879401E-05</v>
      </c>
      <c r="I27" s="230" t="str">
        <f xml:space="preserve"> REPT(" ",19-LEN(TEXT(EXI_beam_diff!I27,"0.000000E+00")))  &amp;   TEXT(EXI_beam_diff!I27,"0.000000E+00")</f>
        <v xml:space="preserve">       1.507190E-03</v>
      </c>
      <c r="J27" s="230" t="str">
        <f xml:space="preserve"> REPT(" ",19-LEN(TEXT(EXI_beam_diff!J27,"0.000000E+00")))  &amp;   TEXT(EXI_beam_diff!J27,"0.000000E+00")</f>
        <v xml:space="preserve">      -4.697032E-05</v>
      </c>
      <c r="K27" s="230" t="str">
        <f xml:space="preserve"> REPT(" ",19-LEN(TEXT(EXI_beam_diff!K27,"0.000000E+00")))  &amp;   TEXT(EXI_beam_diff!K27,"0.000000E+00")</f>
        <v xml:space="preserve">       1.894033E+07</v>
      </c>
      <c r="L27" s="230" t="str">
        <f xml:space="preserve"> REPT(" ",19-LEN(TEXT(EXI_beam_diff!L27,"0.000000E+00")))  &amp;   TEXT(EXI_beam_diff!L27,"0.000000E+00")</f>
        <v xml:space="preserve">       4.179122E+04</v>
      </c>
      <c r="M27" s="230" t="str">
        <f xml:space="preserve"> REPT(" ",19-LEN(TEXT(EXI_beam_diff!M27,"0.000000E+00")))  &amp;   TEXT(EXI_beam_diff!M27,"0.000000E+00")</f>
        <v xml:space="preserve">       8.235949E+04</v>
      </c>
      <c r="N27" s="230" t="str">
        <f xml:space="preserve"> REPT(" ",19-LEN(TEXT(EXI_beam_diff!N27,"0.000000E+00")))  &amp;   TEXT(EXI_beam_diff!N27,"0.000000E+00")</f>
        <v xml:space="preserve">       3.126601E+02</v>
      </c>
      <c r="O27" s="230" t="str">
        <f xml:space="preserve"> REPT(" ",19-LEN(TEXT(EXI_beam_diff!O27,"0.000000E+00")))  &amp;   TEXT(EXI_beam_diff!O27,"0.000000E+00")</f>
        <v xml:space="preserve">       7.215043E+03</v>
      </c>
      <c r="P27" s="230" t="str">
        <f xml:space="preserve"> REPT(" ",19-LEN(TEXT(EXI_beam_diff!P27,"0.000000E+00")))  &amp;   TEXT(EXI_beam_diff!P27,"0.000000E+00")</f>
        <v xml:space="preserve">       1.294478E+02</v>
      </c>
      <c r="Q27" s="230" t="str">
        <f xml:space="preserve"> REPT(" ",19-LEN(TEXT(EXI_beam_diff!Q27,"0.000000E+00")))  &amp;   TEXT(EXI_beam_diff!Q27,"0.000000E+00")</f>
        <v xml:space="preserve">       1.903073E+02</v>
      </c>
      <c r="R27" s="230" t="str">
        <f xml:space="preserve"> REPT(" ",19-LEN(TEXT(EXI_beam_diff!R27,"0.000000E+00")))  &amp;   TEXT(EXI_beam_diff!R27,"0.000000E+00")</f>
        <v xml:space="preserve">       4.350842E+05</v>
      </c>
      <c r="S27" s="230" t="str">
        <f xml:space="preserve"> REPT(" ",19-LEN(TEXT(EXI_beam_diff!S27,"0.000000E+00")))  &amp;   TEXT(EXI_beam_diff!S27,"0.000000E+00")</f>
        <v xml:space="preserve">       3.850903E+05</v>
      </c>
      <c r="T27" s="230" t="str">
        <f xml:space="preserve"> REPT(" ",19-LEN(TEXT(EXI_beam_diff!T27,"0.000000E+00")))  &amp;   TEXT(EXI_beam_diff!T27,"0.000000E+00")</f>
        <v xml:space="preserve">       1.201604E+03</v>
      </c>
      <c r="U27" s="230" t="str">
        <f xml:space="preserve"> REPT(" ",19-LEN(TEXT(EXI_beam_diff!U27,"0.000000E+00")))  &amp;   TEXT(EXI_beam_diff!U27,"0.000000E+00")</f>
        <v xml:space="preserve">       2.612324E+03</v>
      </c>
      <c r="V27" s="230" t="str">
        <f xml:space="preserve"> REPT(" ",8-LEN(TEXT(EXI_beam_diff!V27,"0.0000")))  &amp;  TEXT(EXI_beam_diff!V27,"0.0000")</f>
        <v xml:space="preserve">  1.0920</v>
      </c>
      <c r="AG27" s="1"/>
    </row>
    <row r="28" spans="1:33">
      <c r="A28" s="230" t="str">
        <f>REPT(" ",5-LEN(TEXT(EXI_beam_diff!A28,"###"))) &amp; TEXT(EXI_beam_diff!A28,"###")</f>
        <v xml:space="preserve">   13</v>
      </c>
      <c r="B28" s="230" t="str">
        <f xml:space="preserve"> REPT(" ",8-LEN(TEXT(EXI_beam_diff!B28,"0.0000")))  &amp;  TEXT(EXI_beam_diff!B28,"0.0000")</f>
        <v xml:space="preserve">  1.0920</v>
      </c>
      <c r="C28" s="230" t="str">
        <f xml:space="preserve"> REPT(" ",8-LEN(TEXT(EXI_beam_diff!C28,"0.0000")))  &amp;  TEXT(EXI_beam_diff!C28,"0.0000")</f>
        <v xml:space="preserve">  0.0000</v>
      </c>
      <c r="D28" s="230" t="str">
        <f xml:space="preserve"> REPT(" ",8-LEN(TEXT(EXI_beam_diff!D28,"0.0000")))  &amp;  TEXT(EXI_beam_diff!D28,"0.0000")</f>
        <v xml:space="preserve">  0.0000</v>
      </c>
      <c r="E28" s="230" t="str">
        <f xml:space="preserve"> REPT(" ",19-LEN(TEXT(EXI_beam_diff!E28,"0.000000E+00")))  &amp;   TEXT(EXI_beam_diff!E28,"0.000000E+00")</f>
        <v xml:space="preserve">       1.418085E+00</v>
      </c>
      <c r="F28" s="230" t="str">
        <f xml:space="preserve"> REPT(" ",8-LEN(TEXT(EXI_beam_diff!F28,"0.0000")))  &amp;  TEXT(EXI_beam_diff!F28,"0.0000")</f>
        <v xml:space="preserve"> -0.0065</v>
      </c>
      <c r="G28" s="230" t="str">
        <f xml:space="preserve"> REPT(" ",8-LEN(TEXT(EXI_beam_diff!G28,"0.0000")))  &amp;  TEXT(EXI_beam_diff!G28,"0.0000")</f>
        <v xml:space="preserve">  0.0011</v>
      </c>
      <c r="H28" s="230" t="str">
        <f xml:space="preserve"> REPT(" ",19-LEN(TEXT(EXI_beam_diff!H28,"0.000000E+00")))  &amp;   TEXT(EXI_beam_diff!H28,"0.000000E+00")</f>
        <v xml:space="preserve">       1.879401E-05</v>
      </c>
      <c r="I28" s="230" t="str">
        <f xml:space="preserve"> REPT(" ",19-LEN(TEXT(EXI_beam_diff!I28,"0.000000E+00")))  &amp;   TEXT(EXI_beam_diff!I28,"0.000000E+00")</f>
        <v xml:space="preserve">       1.507190E-03</v>
      </c>
      <c r="J28" s="230" t="str">
        <f xml:space="preserve"> REPT(" ",19-LEN(TEXT(EXI_beam_diff!J28,"0.000000E+00")))  &amp;   TEXT(EXI_beam_diff!J28,"0.000000E+00")</f>
        <v xml:space="preserve">      -4.697032E-05</v>
      </c>
      <c r="K28" s="230" t="str">
        <f xml:space="preserve"> REPT(" ",19-LEN(TEXT(EXI_beam_diff!K28,"0.000000E+00")))  &amp;   TEXT(EXI_beam_diff!K28,"0.000000E+00")</f>
        <v xml:space="preserve">       1.894033E+07</v>
      </c>
      <c r="L28" s="230" t="str">
        <f xml:space="preserve"> REPT(" ",19-LEN(TEXT(EXI_beam_diff!L28,"0.000000E+00")))  &amp;   TEXT(EXI_beam_diff!L28,"0.000000E+00")</f>
        <v xml:space="preserve">       4.179122E+04</v>
      </c>
      <c r="M28" s="230" t="str">
        <f xml:space="preserve"> REPT(" ",19-LEN(TEXT(EXI_beam_diff!M28,"0.000000E+00")))  &amp;   TEXT(EXI_beam_diff!M28,"0.000000E+00")</f>
        <v xml:space="preserve">       8.235949E+04</v>
      </c>
      <c r="N28" s="230" t="str">
        <f xml:space="preserve"> REPT(" ",19-LEN(TEXT(EXI_beam_diff!N28,"0.000000E+00")))  &amp;   TEXT(EXI_beam_diff!N28,"0.000000E+00")</f>
        <v xml:space="preserve">       3.126601E+02</v>
      </c>
      <c r="O28" s="230" t="str">
        <f xml:space="preserve"> REPT(" ",19-LEN(TEXT(EXI_beam_diff!O28,"0.000000E+00")))  &amp;   TEXT(EXI_beam_diff!O28,"0.000000E+00")</f>
        <v xml:space="preserve">       7.215043E+03</v>
      </c>
      <c r="P28" s="230" t="str">
        <f xml:space="preserve"> REPT(" ",19-LEN(TEXT(EXI_beam_diff!P28,"0.000000E+00")))  &amp;   TEXT(EXI_beam_diff!P28,"0.000000E+00")</f>
        <v xml:space="preserve">       1.294478E+02</v>
      </c>
      <c r="Q28" s="230" t="str">
        <f xml:space="preserve"> REPT(" ",19-LEN(TEXT(EXI_beam_diff!Q28,"0.000000E+00")))  &amp;   TEXT(EXI_beam_diff!Q28,"0.000000E+00")</f>
        <v xml:space="preserve">       1.903073E+02</v>
      </c>
      <c r="R28" s="230" t="str">
        <f xml:space="preserve"> REPT(" ",19-LEN(TEXT(EXI_beam_diff!R28,"0.000000E+00")))  &amp;   TEXT(EXI_beam_diff!R28,"0.000000E+00")</f>
        <v xml:space="preserve">       4.350842E+05</v>
      </c>
      <c r="S28" s="230" t="str">
        <f xml:space="preserve"> REPT(" ",19-LEN(TEXT(EXI_beam_diff!S28,"0.000000E+00")))  &amp;   TEXT(EXI_beam_diff!S28,"0.000000E+00")</f>
        <v xml:space="preserve">       3.850903E+05</v>
      </c>
      <c r="T28" s="230" t="str">
        <f xml:space="preserve"> REPT(" ",19-LEN(TEXT(EXI_beam_diff!T28,"0.000000E+00")))  &amp;   TEXT(EXI_beam_diff!T28,"0.000000E+00")</f>
        <v xml:space="preserve">       1.201604E+03</v>
      </c>
      <c r="U28" s="230" t="str">
        <f xml:space="preserve"> REPT(" ",19-LEN(TEXT(EXI_beam_diff!U28,"0.000000E+00")))  &amp;   TEXT(EXI_beam_diff!U28,"0.000000E+00")</f>
        <v xml:space="preserve">       2.612324E+03</v>
      </c>
      <c r="V28" s="230" t="str">
        <f xml:space="preserve"> REPT(" ",8-LEN(TEXT(EXI_beam_diff!V28,"0.0000")))  &amp;  TEXT(EXI_beam_diff!V28,"0.0000")</f>
        <v xml:space="preserve">  1.0920</v>
      </c>
    </row>
    <row r="29" spans="1:33">
      <c r="A29" s="230" t="str">
        <f>REPT(" ",5-LEN(TEXT(EXI_beam_diff!A29,"###"))) &amp; TEXT(EXI_beam_diff!A29,"###")</f>
        <v xml:space="preserve">     </v>
      </c>
      <c r="B29" s="230" t="str">
        <f xml:space="preserve"> REPT(" ",8-LEN(TEXT(EXI_beam_diff!B29,"0.0000")))  &amp;  TEXT(EXI_beam_diff!B29,"0.0000")</f>
        <v xml:space="preserve">  1.1759</v>
      </c>
      <c r="C29" s="230" t="str">
        <f xml:space="preserve"> REPT(" ",8-LEN(TEXT(EXI_beam_diff!C29,"0.0000")))  &amp;  TEXT(EXI_beam_diff!C29,"0.0000")</f>
        <v xml:space="preserve">  0.0000</v>
      </c>
      <c r="D29" s="230" t="str">
        <f xml:space="preserve"> REPT(" ",8-LEN(TEXT(EXI_beam_diff!D29,"0.0000")))  &amp;  TEXT(EXI_beam_diff!D29,"0.0000")</f>
        <v xml:space="preserve">  0.0000</v>
      </c>
      <c r="E29" s="230" t="str">
        <f xml:space="preserve"> REPT(" ",19-LEN(TEXT(EXI_beam_diff!E29,"0.000000E+00")))  &amp;   TEXT(EXI_beam_diff!E29,"0.000000E+00")</f>
        <v xml:space="preserve">       1.223678E+00</v>
      </c>
      <c r="F29" s="230" t="str">
        <f xml:space="preserve"> REPT(" ",8-LEN(TEXT(EXI_beam_diff!F29,"0.0000")))  &amp;  TEXT(EXI_beam_diff!F29,"0.0000")</f>
        <v xml:space="preserve">  0.0000</v>
      </c>
      <c r="G29" s="230" t="str">
        <f xml:space="preserve"> REPT(" ",8-LEN(TEXT(EXI_beam_diff!G29,"0.0000")))  &amp;  TEXT(EXI_beam_diff!G29,"0.0000")</f>
        <v xml:space="preserve">  0.0014</v>
      </c>
      <c r="H29" s="230" t="str">
        <f xml:space="preserve"> REPT(" ",19-LEN(TEXT(EXI_beam_diff!H29,"0.000000E+00")))  &amp;   TEXT(EXI_beam_diff!H29,"0.000000E+00")</f>
        <v xml:space="preserve">       1.824542E-05</v>
      </c>
      <c r="I29" s="230" t="str">
        <f xml:space="preserve"> REPT(" ",19-LEN(TEXT(EXI_beam_diff!I29,"0.000000E+00")))  &amp;   TEXT(EXI_beam_diff!I29,"0.000000E+00")</f>
        <v xml:space="preserve">       1.341179E-03</v>
      </c>
      <c r="J29" s="230" t="str">
        <f xml:space="preserve"> REPT(" ",19-LEN(TEXT(EXI_beam_diff!J29,"0.000000E+00")))  &amp;   TEXT(EXI_beam_diff!J29,"0.000000E+00")</f>
        <v xml:space="preserve">      -1.671783E-05</v>
      </c>
      <c r="K29" s="230" t="str">
        <f xml:space="preserve"> REPT(" ",19-LEN(TEXT(EXI_beam_diff!K29,"0.000000E+00")))  &amp;   TEXT(EXI_beam_diff!K29,"0.000000E+00")</f>
        <v xml:space="preserve">       1.889428E+07</v>
      </c>
      <c r="L29" s="230" t="str">
        <f xml:space="preserve"> REPT(" ",19-LEN(TEXT(EXI_beam_diff!L29,"0.000000E+00")))  &amp;   TEXT(EXI_beam_diff!L29,"0.000000E+00")</f>
        <v xml:space="preserve">       4.175257E+04</v>
      </c>
      <c r="M29" s="230" t="str">
        <f xml:space="preserve"> REPT(" ",19-LEN(TEXT(EXI_beam_diff!M29,"0.000000E+00")))  &amp;   TEXT(EXI_beam_diff!M29,"0.000000E+00")</f>
        <v xml:space="preserve">       8.446497E+04</v>
      </c>
      <c r="N29" s="230" t="str">
        <f xml:space="preserve"> REPT(" ",19-LEN(TEXT(EXI_beam_diff!N29,"0.000000E+00")))  &amp;   TEXT(EXI_beam_diff!N29,"0.000000E+00")</f>
        <v xml:space="preserve">       3.058572E+02</v>
      </c>
      <c r="O29" s="230" t="str">
        <f xml:space="preserve"> REPT(" ",19-LEN(TEXT(EXI_beam_diff!O29,"0.000000E+00")))  &amp;   TEXT(EXI_beam_diff!O29,"0.000000E+00")</f>
        <v xml:space="preserve">       7.207785E+03</v>
      </c>
      <c r="P29" s="230" t="str">
        <f xml:space="preserve"> REPT(" ",19-LEN(TEXT(EXI_beam_diff!P29,"0.000000E+00")))  &amp;   TEXT(EXI_beam_diff!P29,"0.000000E+00")</f>
        <v xml:space="preserve">       2.169605E+02</v>
      </c>
      <c r="Q29" s="230" t="str">
        <f xml:space="preserve"> REPT(" ",19-LEN(TEXT(EXI_beam_diff!Q29,"0.000000E+00")))  &amp;   TEXT(EXI_beam_diff!Q29,"0.000000E+00")</f>
        <v xml:space="preserve">       1.863315E+02</v>
      </c>
      <c r="R29" s="230" t="str">
        <f xml:space="preserve"> REPT(" ",19-LEN(TEXT(EXI_beam_diff!R29,"0.000000E+00")))  &amp;   TEXT(EXI_beam_diff!R29,"0.000000E+00")</f>
        <v xml:space="preserve">       4.264457E+05</v>
      </c>
      <c r="S29" s="230" t="str">
        <f xml:space="preserve"> REPT(" ",19-LEN(TEXT(EXI_beam_diff!S29,"0.000000E+00")))  &amp;   TEXT(EXI_beam_diff!S29,"0.000000E+00")</f>
        <v xml:space="preserve">       3.774290E+05</v>
      </c>
      <c r="T29" s="230" t="str">
        <f xml:space="preserve"> REPT(" ",19-LEN(TEXT(EXI_beam_diff!T29,"0.000000E+00")))  &amp;   TEXT(EXI_beam_diff!T29,"0.000000E+00")</f>
        <v xml:space="preserve">       1.186509E+03</v>
      </c>
      <c r="U29" s="230" t="str">
        <f xml:space="preserve"> REPT(" ",19-LEN(TEXT(EXI_beam_diff!U29,"0.000000E+00")))  &amp;   TEXT(EXI_beam_diff!U29,"0.000000E+00")</f>
        <v xml:space="preserve">       2.686633E+03</v>
      </c>
      <c r="V29" s="230" t="str">
        <f xml:space="preserve"> REPT(" ",8-LEN(TEXT(EXI_beam_diff!V29,"0.0000")))  &amp;  TEXT(EXI_beam_diff!V29,"0.0000")</f>
        <v xml:space="preserve">  1.1759</v>
      </c>
      <c r="AG29" s="1"/>
    </row>
    <row r="30" spans="1:33">
      <c r="A30" s="230" t="str">
        <f>REPT(" ",5-LEN(TEXT(EXI_beam_diff!A30,"###"))) &amp; TEXT(EXI_beam_diff!A30,"###")</f>
        <v xml:space="preserve">   14</v>
      </c>
      <c r="B30" s="230" t="str">
        <f xml:space="preserve"> REPT(" ",8-LEN(TEXT(EXI_beam_diff!B30,"0.0000")))  &amp;  TEXT(EXI_beam_diff!B30,"0.0000")</f>
        <v xml:space="preserve">  1.1759</v>
      </c>
      <c r="C30" s="230" t="str">
        <f xml:space="preserve"> REPT(" ",8-LEN(TEXT(EXI_beam_diff!C30,"0.0000")))  &amp;  TEXT(EXI_beam_diff!C30,"0.0000")</f>
        <v xml:space="preserve">  0.0000</v>
      </c>
      <c r="D30" s="230" t="str">
        <f xml:space="preserve"> REPT(" ",8-LEN(TEXT(EXI_beam_diff!D30,"0.0000")))  &amp;  TEXT(EXI_beam_diff!D30,"0.0000")</f>
        <v xml:space="preserve">  0.0000</v>
      </c>
      <c r="E30" s="230" t="str">
        <f xml:space="preserve"> REPT(" ",19-LEN(TEXT(EXI_beam_diff!E30,"0.000000E+00")))  &amp;   TEXT(EXI_beam_diff!E30,"0.000000E+00")</f>
        <v xml:space="preserve">       1.223678E+00</v>
      </c>
      <c r="F30" s="230" t="str">
        <f xml:space="preserve"> REPT(" ",8-LEN(TEXT(EXI_beam_diff!F30,"0.0000")))  &amp;  TEXT(EXI_beam_diff!F30,"0.0000")</f>
        <v xml:space="preserve">  0.0000</v>
      </c>
      <c r="G30" s="230" t="str">
        <f xml:space="preserve"> REPT(" ",8-LEN(TEXT(EXI_beam_diff!G30,"0.0000")))  &amp;  TEXT(EXI_beam_diff!G30,"0.0000")</f>
        <v xml:space="preserve">  0.0014</v>
      </c>
      <c r="H30" s="230" t="str">
        <f xml:space="preserve"> REPT(" ",19-LEN(TEXT(EXI_beam_diff!H30,"0.000000E+00")))  &amp;   TEXT(EXI_beam_diff!H30,"0.000000E+00")</f>
        <v xml:space="preserve">       1.824542E-05</v>
      </c>
      <c r="I30" s="230" t="str">
        <f xml:space="preserve"> REPT(" ",19-LEN(TEXT(EXI_beam_diff!I30,"0.000000E+00")))  &amp;   TEXT(EXI_beam_diff!I30,"0.000000E+00")</f>
        <v xml:space="preserve">       1.341179E-03</v>
      </c>
      <c r="J30" s="230" t="str">
        <f xml:space="preserve"> REPT(" ",19-LEN(TEXT(EXI_beam_diff!J30,"0.000000E+00")))  &amp;   TEXT(EXI_beam_diff!J30,"0.000000E+00")</f>
        <v xml:space="preserve">      -1.671783E-05</v>
      </c>
      <c r="K30" s="230" t="str">
        <f xml:space="preserve"> REPT(" ",19-LEN(TEXT(EXI_beam_diff!K30,"0.000000E+00")))  &amp;   TEXT(EXI_beam_diff!K30,"0.000000E+00")</f>
        <v xml:space="preserve">       1.889428E+07</v>
      </c>
      <c r="L30" s="230" t="str">
        <f xml:space="preserve"> REPT(" ",19-LEN(TEXT(EXI_beam_diff!L30,"0.000000E+00")))  &amp;   TEXT(EXI_beam_diff!L30,"0.000000E+00")</f>
        <v xml:space="preserve">       4.175257E+04</v>
      </c>
      <c r="M30" s="230" t="str">
        <f xml:space="preserve"> REPT(" ",19-LEN(TEXT(EXI_beam_diff!M30,"0.000000E+00")))  &amp;   TEXT(EXI_beam_diff!M30,"0.000000E+00")</f>
        <v xml:space="preserve">       8.446497E+04</v>
      </c>
      <c r="N30" s="230" t="str">
        <f xml:space="preserve"> REPT(" ",19-LEN(TEXT(EXI_beam_diff!N30,"0.000000E+00")))  &amp;   TEXT(EXI_beam_diff!N30,"0.000000E+00")</f>
        <v xml:space="preserve">       3.058572E+02</v>
      </c>
      <c r="O30" s="230" t="str">
        <f xml:space="preserve"> REPT(" ",19-LEN(TEXT(EXI_beam_diff!O30,"0.000000E+00")))  &amp;   TEXT(EXI_beam_diff!O30,"0.000000E+00")</f>
        <v xml:space="preserve">       7.207785E+03</v>
      </c>
      <c r="P30" s="230" t="str">
        <f xml:space="preserve"> REPT(" ",19-LEN(TEXT(EXI_beam_diff!P30,"0.000000E+00")))  &amp;   TEXT(EXI_beam_diff!P30,"0.000000E+00")</f>
        <v xml:space="preserve">       2.169605E+02</v>
      </c>
      <c r="Q30" s="230" t="str">
        <f xml:space="preserve"> REPT(" ",19-LEN(TEXT(EXI_beam_diff!Q30,"0.000000E+00")))  &amp;   TEXT(EXI_beam_diff!Q30,"0.000000E+00")</f>
        <v xml:space="preserve">       1.863315E+02</v>
      </c>
      <c r="R30" s="230" t="str">
        <f xml:space="preserve"> REPT(" ",19-LEN(TEXT(EXI_beam_diff!R30,"0.000000E+00")))  &amp;   TEXT(EXI_beam_diff!R30,"0.000000E+00")</f>
        <v xml:space="preserve">       4.264457E+05</v>
      </c>
      <c r="S30" s="230" t="str">
        <f xml:space="preserve"> REPT(" ",19-LEN(TEXT(EXI_beam_diff!S30,"0.000000E+00")))  &amp;   TEXT(EXI_beam_diff!S30,"0.000000E+00")</f>
        <v xml:space="preserve">       3.774290E+05</v>
      </c>
      <c r="T30" s="230" t="str">
        <f xml:space="preserve"> REPT(" ",19-LEN(TEXT(EXI_beam_diff!T30,"0.000000E+00")))  &amp;   TEXT(EXI_beam_diff!T30,"0.000000E+00")</f>
        <v xml:space="preserve">       1.186509E+03</v>
      </c>
      <c r="U30" s="230" t="str">
        <f xml:space="preserve"> REPT(" ",19-LEN(TEXT(EXI_beam_diff!U30,"0.000000E+00")))  &amp;   TEXT(EXI_beam_diff!U30,"0.000000E+00")</f>
        <v xml:space="preserve">       2.686633E+03</v>
      </c>
      <c r="V30" s="230" t="str">
        <f xml:space="preserve"> REPT(" ",8-LEN(TEXT(EXI_beam_diff!V30,"0.0000")))  &amp;  TEXT(EXI_beam_diff!V30,"0.0000")</f>
        <v xml:space="preserve">  1.1759</v>
      </c>
    </row>
    <row r="31" spans="1:33">
      <c r="A31" s="230" t="str">
        <f>REPT(" ",5-LEN(TEXT(EXI_beam_diff!A31,"###"))) &amp; TEXT(EXI_beam_diff!A31,"###")</f>
        <v xml:space="preserve">     </v>
      </c>
      <c r="B31" s="230" t="str">
        <f xml:space="preserve"> REPT(" ",8-LEN(TEXT(EXI_beam_diff!B31,"0.0000")))  &amp;  TEXT(EXI_beam_diff!B31,"0.0000")</f>
        <v xml:space="preserve">  1.2613</v>
      </c>
      <c r="C31" s="230" t="str">
        <f xml:space="preserve"> REPT(" ",8-LEN(TEXT(EXI_beam_diff!C31,"0.0000")))  &amp;  TEXT(EXI_beam_diff!C31,"0.0000")</f>
        <v xml:space="preserve">  0.0000</v>
      </c>
      <c r="D31" s="230" t="str">
        <f xml:space="preserve"> REPT(" ",8-LEN(TEXT(EXI_beam_diff!D31,"0.0000")))  &amp;  TEXT(EXI_beam_diff!D31,"0.0000")</f>
        <v xml:space="preserve">  0.0000</v>
      </c>
      <c r="E31" s="230" t="str">
        <f xml:space="preserve"> REPT(" ",19-LEN(TEXT(EXI_beam_diff!E31,"0.000000E+00")))  &amp;   TEXT(EXI_beam_diff!E31,"0.000000E+00")</f>
        <v xml:space="preserve">       1.283064E+00</v>
      </c>
      <c r="F31" s="230" t="str">
        <f xml:space="preserve"> REPT(" ",8-LEN(TEXT(EXI_beam_diff!F31,"0.0000")))  &amp;  TEXT(EXI_beam_diff!F31,"0.0000")</f>
        <v xml:space="preserve"> -0.0025</v>
      </c>
      <c r="G31" s="230" t="str">
        <f xml:space="preserve"> REPT(" ",8-LEN(TEXT(EXI_beam_diff!G31,"0.0000")))  &amp;  TEXT(EXI_beam_diff!G31,"0.0000")</f>
        <v xml:space="preserve">  0.0012</v>
      </c>
      <c r="H31" s="230" t="str">
        <f xml:space="preserve"> REPT(" ",19-LEN(TEXT(EXI_beam_diff!H31,"0.000000E+00")))  &amp;   TEXT(EXI_beam_diff!H31,"0.000000E+00")</f>
        <v xml:space="preserve">       1.441594E-05</v>
      </c>
      <c r="I31" s="230" t="str">
        <f xml:space="preserve"> REPT(" ",19-LEN(TEXT(EXI_beam_diff!I31,"0.000000E+00")))  &amp;   TEXT(EXI_beam_diff!I31,"0.000000E+00")</f>
        <v xml:space="preserve">       1.359805E-03</v>
      </c>
      <c r="J31" s="230" t="str">
        <f xml:space="preserve"> REPT(" ",19-LEN(TEXT(EXI_beam_diff!J31,"0.000000E+00")))  &amp;   TEXT(EXI_beam_diff!J31,"0.000000E+00")</f>
        <v xml:space="preserve">       8.767261E-07</v>
      </c>
      <c r="K31" s="230" t="str">
        <f xml:space="preserve"> REPT(" ",19-LEN(TEXT(EXI_beam_diff!K31,"0.000000E+00")))  &amp;   TEXT(EXI_beam_diff!K31,"0.000000E+00")</f>
        <v xml:space="preserve">       1.723893E+07</v>
      </c>
      <c r="L31" s="230" t="str">
        <f xml:space="preserve"> REPT(" ",19-LEN(TEXT(EXI_beam_diff!L31,"0.000000E+00")))  &amp;   TEXT(EXI_beam_diff!L31,"0.000000E+00")</f>
        <v xml:space="preserve">       3.108616E+04</v>
      </c>
      <c r="M31" s="230" t="str">
        <f xml:space="preserve"> REPT(" ",19-LEN(TEXT(EXI_beam_diff!M31,"0.000000E+00")))  &amp;   TEXT(EXI_beam_diff!M31,"0.000000E+00")</f>
        <v xml:space="preserve">       8.856592E+04</v>
      </c>
      <c r="N31" s="230" t="str">
        <f xml:space="preserve"> REPT(" ",19-LEN(TEXT(EXI_beam_diff!N31,"0.000000E+00")))  &amp;   TEXT(EXI_beam_diff!N31,"0.000000E+00")</f>
        <v xml:space="preserve">       2.181684E+02</v>
      </c>
      <c r="O31" s="230" t="str">
        <f xml:space="preserve"> REPT(" ",19-LEN(TEXT(EXI_beam_diff!O31,"0.000000E+00")))  &amp;   TEXT(EXI_beam_diff!O31,"0.000000E+00")</f>
        <v xml:space="preserve">       6.821913E+03</v>
      </c>
      <c r="P31" s="230" t="str">
        <f xml:space="preserve"> REPT(" ",19-LEN(TEXT(EXI_beam_diff!P31,"0.000000E+00")))  &amp;   TEXT(EXI_beam_diff!P31,"0.000000E+00")</f>
        <v xml:space="preserve">       2.601937E+02</v>
      </c>
      <c r="Q31" s="230" t="str">
        <f xml:space="preserve"> REPT(" ",19-LEN(TEXT(EXI_beam_diff!Q31,"0.000000E+00")))  &amp;   TEXT(EXI_beam_diff!Q31,"0.000000E+00")</f>
        <v xml:space="preserve">       1.439170E+02</v>
      </c>
      <c r="R31" s="230" t="str">
        <f xml:space="preserve"> REPT(" ",19-LEN(TEXT(EXI_beam_diff!R31,"0.000000E+00")))  &amp;   TEXT(EXI_beam_diff!R31,"0.000000E+00")</f>
        <v xml:space="preserve">       3.284835E+05</v>
      </c>
      <c r="S31" s="230" t="str">
        <f xml:space="preserve"> REPT(" ",19-LEN(TEXT(EXI_beam_diff!S31,"0.000000E+00")))  &amp;   TEXT(EXI_beam_diff!S31,"0.000000E+00")</f>
        <v xml:space="preserve">       2.907399E+05</v>
      </c>
      <c r="T31" s="230" t="str">
        <f xml:space="preserve"> REPT(" ",19-LEN(TEXT(EXI_beam_diff!T31,"0.000000E+00")))  &amp;   TEXT(EXI_beam_diff!T31,"0.000000E+00")</f>
        <v xml:space="preserve">       7.719277E+02</v>
      </c>
      <c r="U31" s="230" t="str">
        <f xml:space="preserve"> REPT(" ",19-LEN(TEXT(EXI_beam_diff!U31,"0.000000E+00")))  &amp;   TEXT(EXI_beam_diff!U31,"0.000000E+00")</f>
        <v xml:space="preserve">       1.823195E+03</v>
      </c>
      <c r="V31" s="230" t="str">
        <f xml:space="preserve"> REPT(" ",8-LEN(TEXT(EXI_beam_diff!V31,"0.0000")))  &amp;  TEXT(EXI_beam_diff!V31,"0.0000")</f>
        <v xml:space="preserve">  1.2613</v>
      </c>
      <c r="AG31" s="1"/>
    </row>
    <row r="32" spans="1:33">
      <c r="A32" s="230" t="str">
        <f>REPT(" ",5-LEN(TEXT(EXI_beam_diff!A32,"###"))) &amp; TEXT(EXI_beam_diff!A32,"###")</f>
        <v xml:space="preserve">   15</v>
      </c>
      <c r="B32" s="230" t="str">
        <f xml:space="preserve"> REPT(" ",8-LEN(TEXT(EXI_beam_diff!B32,"0.0000")))  &amp;  TEXT(EXI_beam_diff!B32,"0.0000")</f>
        <v xml:space="preserve">  1.2613</v>
      </c>
      <c r="C32" s="230" t="str">
        <f xml:space="preserve"> REPT(" ",8-LEN(TEXT(EXI_beam_diff!C32,"0.0000")))  &amp;  TEXT(EXI_beam_diff!C32,"0.0000")</f>
        <v xml:space="preserve">  0.0000</v>
      </c>
      <c r="D32" s="230" t="str">
        <f xml:space="preserve"> REPT(" ",8-LEN(TEXT(EXI_beam_diff!D32,"0.0000")))  &amp;  TEXT(EXI_beam_diff!D32,"0.0000")</f>
        <v xml:space="preserve">  0.0000</v>
      </c>
      <c r="E32" s="230" t="str">
        <f xml:space="preserve"> REPT(" ",19-LEN(TEXT(EXI_beam_diff!E32,"0.000000E+00")))  &amp;   TEXT(EXI_beam_diff!E32,"0.000000E+00")</f>
        <v xml:space="preserve">       1.283064E+00</v>
      </c>
      <c r="F32" s="230" t="str">
        <f xml:space="preserve"> REPT(" ",8-LEN(TEXT(EXI_beam_diff!F32,"0.0000")))  &amp;  TEXT(EXI_beam_diff!F32,"0.0000")</f>
        <v xml:space="preserve"> -0.0025</v>
      </c>
      <c r="G32" s="230" t="str">
        <f xml:space="preserve"> REPT(" ",8-LEN(TEXT(EXI_beam_diff!G32,"0.0000")))  &amp;  TEXT(EXI_beam_diff!G32,"0.0000")</f>
        <v xml:space="preserve">  0.0012</v>
      </c>
      <c r="H32" s="230" t="str">
        <f xml:space="preserve"> REPT(" ",19-LEN(TEXT(EXI_beam_diff!H32,"0.000000E+00")))  &amp;   TEXT(EXI_beam_diff!H32,"0.000000E+00")</f>
        <v xml:space="preserve">       1.441594E-05</v>
      </c>
      <c r="I32" s="230" t="str">
        <f xml:space="preserve"> REPT(" ",19-LEN(TEXT(EXI_beam_diff!I32,"0.000000E+00")))  &amp;   TEXT(EXI_beam_diff!I32,"0.000000E+00")</f>
        <v xml:space="preserve">       1.359805E-03</v>
      </c>
      <c r="J32" s="230" t="str">
        <f xml:space="preserve"> REPT(" ",19-LEN(TEXT(EXI_beam_diff!J32,"0.000000E+00")))  &amp;   TEXT(EXI_beam_diff!J32,"0.000000E+00")</f>
        <v xml:space="preserve">       8.767261E-07</v>
      </c>
      <c r="K32" s="230" t="str">
        <f xml:space="preserve"> REPT(" ",19-LEN(TEXT(EXI_beam_diff!K32,"0.000000E+00")))  &amp;   TEXT(EXI_beam_diff!K32,"0.000000E+00")</f>
        <v xml:space="preserve">       1.723893E+07</v>
      </c>
      <c r="L32" s="230" t="str">
        <f xml:space="preserve"> REPT(" ",19-LEN(TEXT(EXI_beam_diff!L32,"0.000000E+00")))  &amp;   TEXT(EXI_beam_diff!L32,"0.000000E+00")</f>
        <v xml:space="preserve">       3.108616E+04</v>
      </c>
      <c r="M32" s="230" t="str">
        <f xml:space="preserve"> REPT(" ",19-LEN(TEXT(EXI_beam_diff!M32,"0.000000E+00")))  &amp;   TEXT(EXI_beam_diff!M32,"0.000000E+00")</f>
        <v xml:space="preserve">       8.856592E+04</v>
      </c>
      <c r="N32" s="230" t="str">
        <f xml:space="preserve"> REPT(" ",19-LEN(TEXT(EXI_beam_diff!N32,"0.000000E+00")))  &amp;   TEXT(EXI_beam_diff!N32,"0.000000E+00")</f>
        <v xml:space="preserve">       2.181684E+02</v>
      </c>
      <c r="O32" s="230" t="str">
        <f xml:space="preserve"> REPT(" ",19-LEN(TEXT(EXI_beam_diff!O32,"0.000000E+00")))  &amp;   TEXT(EXI_beam_diff!O32,"0.000000E+00")</f>
        <v xml:space="preserve">       6.821913E+03</v>
      </c>
      <c r="P32" s="230" t="str">
        <f xml:space="preserve"> REPT(" ",19-LEN(TEXT(EXI_beam_diff!P32,"0.000000E+00")))  &amp;   TEXT(EXI_beam_diff!P32,"0.000000E+00")</f>
        <v xml:space="preserve">       2.601937E+02</v>
      </c>
      <c r="Q32" s="230" t="str">
        <f xml:space="preserve"> REPT(" ",19-LEN(TEXT(EXI_beam_diff!Q32,"0.000000E+00")))  &amp;   TEXT(EXI_beam_diff!Q32,"0.000000E+00")</f>
        <v xml:space="preserve">       1.439170E+02</v>
      </c>
      <c r="R32" s="230" t="str">
        <f xml:space="preserve"> REPT(" ",19-LEN(TEXT(EXI_beam_diff!R32,"0.000000E+00")))  &amp;   TEXT(EXI_beam_diff!R32,"0.000000E+00")</f>
        <v xml:space="preserve">       3.284835E+05</v>
      </c>
      <c r="S32" s="230" t="str">
        <f xml:space="preserve"> REPT(" ",19-LEN(TEXT(EXI_beam_diff!S32,"0.000000E+00")))  &amp;   TEXT(EXI_beam_diff!S32,"0.000000E+00")</f>
        <v xml:space="preserve">       2.907399E+05</v>
      </c>
      <c r="T32" s="230" t="str">
        <f xml:space="preserve"> REPT(" ",19-LEN(TEXT(EXI_beam_diff!T32,"0.000000E+00")))  &amp;   TEXT(EXI_beam_diff!T32,"0.000000E+00")</f>
        <v xml:space="preserve">       7.719277E+02</v>
      </c>
      <c r="U32" s="230" t="str">
        <f xml:space="preserve"> REPT(" ",19-LEN(TEXT(EXI_beam_diff!U32,"0.000000E+00")))  &amp;   TEXT(EXI_beam_diff!U32,"0.000000E+00")</f>
        <v xml:space="preserve">       1.823195E+03</v>
      </c>
      <c r="V32" s="230" t="str">
        <f xml:space="preserve"> REPT(" ",8-LEN(TEXT(EXI_beam_diff!V32,"0.0000")))  &amp;  TEXT(EXI_beam_diff!V32,"0.0000")</f>
        <v xml:space="preserve">  1.2613</v>
      </c>
    </row>
    <row r="33" spans="1:33">
      <c r="A33" s="230" t="str">
        <f>REPT(" ",5-LEN(TEXT(EXI_beam_diff!A33,"###"))) &amp; TEXT(EXI_beam_diff!A33,"###")</f>
        <v xml:space="preserve">     </v>
      </c>
      <c r="B33" s="230" t="str">
        <f xml:space="preserve"> REPT(" ",8-LEN(TEXT(EXI_beam_diff!B33,"0.0000")))  &amp;  TEXT(EXI_beam_diff!B33,"0.0000")</f>
        <v xml:space="preserve">  1.3448</v>
      </c>
      <c r="C33" s="230" t="str">
        <f xml:space="preserve"> REPT(" ",8-LEN(TEXT(EXI_beam_diff!C33,"0.0000")))  &amp;  TEXT(EXI_beam_diff!C33,"0.0000")</f>
        <v xml:space="preserve">  0.0000</v>
      </c>
      <c r="D33" s="230" t="str">
        <f xml:space="preserve"> REPT(" ",8-LEN(TEXT(EXI_beam_diff!D33,"0.0000")))  &amp;  TEXT(EXI_beam_diff!D33,"0.0000")</f>
        <v xml:space="preserve">  0.0000</v>
      </c>
      <c r="E33" s="230" t="str">
        <f xml:space="preserve"> REPT(" ",19-LEN(TEXT(EXI_beam_diff!E33,"0.000000E+00")))  &amp;   TEXT(EXI_beam_diff!E33,"0.000000E+00")</f>
        <v xml:space="preserve">       1.448919E+00</v>
      </c>
      <c r="F33" s="230" t="str">
        <f xml:space="preserve"> REPT(" ",8-LEN(TEXT(EXI_beam_diff!F33,"0.0000")))  &amp;  TEXT(EXI_beam_diff!F33,"0.0000")</f>
        <v xml:space="preserve"> -0.0081</v>
      </c>
      <c r="G33" s="230" t="str">
        <f xml:space="preserve"> REPT(" ",8-LEN(TEXT(EXI_beam_diff!G33,"0.0000")))  &amp;  TEXT(EXI_beam_diff!G33,"0.0000")</f>
        <v xml:space="preserve">  0.0008</v>
      </c>
      <c r="H33" s="230" t="str">
        <f xml:space="preserve"> REPT(" ",19-LEN(TEXT(EXI_beam_diff!H33,"0.000000E+00")))  &amp;   TEXT(EXI_beam_diff!H33,"0.000000E+00")</f>
        <v xml:space="preserve">       8.752251E-06</v>
      </c>
      <c r="I33" s="230" t="str">
        <f xml:space="preserve"> REPT(" ",19-LEN(TEXT(EXI_beam_diff!I33,"0.000000E+00")))  &amp;   TEXT(EXI_beam_diff!I33,"0.000000E+00")</f>
        <v xml:space="preserve">       1.438419E-03</v>
      </c>
      <c r="J33" s="230" t="str">
        <f xml:space="preserve"> REPT(" ",19-LEN(TEXT(EXI_beam_diff!J33,"0.000000E+00")))  &amp;   TEXT(EXI_beam_diff!J33,"0.000000E+00")</f>
        <v xml:space="preserve">       2.190371E-05</v>
      </c>
      <c r="K33" s="230" t="str">
        <f xml:space="preserve"> REPT(" ",19-LEN(TEXT(EXI_beam_diff!K33,"0.000000E+00")))  &amp;   TEXT(EXI_beam_diff!K33,"0.000000E+00")</f>
        <v xml:space="preserve">       1.405496E+07</v>
      </c>
      <c r="L33" s="230" t="str">
        <f xml:space="preserve"> REPT(" ",19-LEN(TEXT(EXI_beam_diff!L33,"0.000000E+00")))  &amp;   TEXT(EXI_beam_diff!L33,"0.000000E+00")</f>
        <v xml:space="preserve">       1.344652E+04</v>
      </c>
      <c r="M33" s="230" t="str">
        <f xml:space="preserve"> REPT(" ",19-LEN(TEXT(EXI_beam_diff!M33,"0.000000E+00")))  &amp;   TEXT(EXI_beam_diff!M33,"0.000000E+00")</f>
        <v xml:space="preserve">       9.130608E+04</v>
      </c>
      <c r="N33" s="230" t="str">
        <f xml:space="preserve"> REPT(" ",19-LEN(TEXT(EXI_beam_diff!N33,"0.000000E+00")))  &amp;   TEXT(EXI_beam_diff!N33,"0.000000E+00")</f>
        <v xml:space="preserve">       9.209617E+01</v>
      </c>
      <c r="O33" s="230" t="str">
        <f xml:space="preserve"> REPT(" ",19-LEN(TEXT(EXI_beam_diff!O33,"0.000000E+00")))  &amp;   TEXT(EXI_beam_diff!O33,"0.000000E+00")</f>
        <v xml:space="preserve">       6.075099E+03</v>
      </c>
      <c r="P33" s="230" t="str">
        <f xml:space="preserve"> REPT(" ",19-LEN(TEXT(EXI_beam_diff!P33,"0.000000E+00")))  &amp;   TEXT(EXI_beam_diff!P33,"0.000000E+00")</f>
        <v xml:space="preserve">       2.381438E+02</v>
      </c>
      <c r="Q33" s="230" t="str">
        <f xml:space="preserve"> REPT(" ",19-LEN(TEXT(EXI_beam_diff!Q33,"0.000000E+00")))  &amp;   TEXT(EXI_beam_diff!Q33,"0.000000E+00")</f>
        <v xml:space="preserve">       8.210015E+01</v>
      </c>
      <c r="R33" s="230" t="str">
        <f xml:space="preserve"> REPT(" ",19-LEN(TEXT(EXI_beam_diff!R33,"0.000000E+00")))  &amp;   TEXT(EXI_beam_diff!R33,"0.000000E+00")</f>
        <v xml:space="preserve">       1.798420E+05</v>
      </c>
      <c r="S33" s="230" t="str">
        <f xml:space="preserve"> REPT(" ",19-LEN(TEXT(EXI_beam_diff!S33,"0.000000E+00")))  &amp;   TEXT(EXI_beam_diff!S33,"0.000000E+00")</f>
        <v xml:space="preserve">       1.591926E+05</v>
      </c>
      <c r="T33" s="230" t="str">
        <f xml:space="preserve"> REPT(" ",19-LEN(TEXT(EXI_beam_diff!T33,"0.000000E+00")))  &amp;   TEXT(EXI_beam_diff!T33,"0.000000E+00")</f>
        <v xml:space="preserve">       2.855363E+02</v>
      </c>
      <c r="U33" s="230" t="str">
        <f xml:space="preserve"> REPT(" ",19-LEN(TEXT(EXI_beam_diff!U33,"0.000000E+00")))  &amp;   TEXT(EXI_beam_diff!U33,"0.000000E+00")</f>
        <v xml:space="preserve">       1.220713E+03</v>
      </c>
      <c r="V33" s="230" t="str">
        <f xml:space="preserve"> REPT(" ",8-LEN(TEXT(EXI_beam_diff!V33,"0.0000")))  &amp;  TEXT(EXI_beam_diff!V33,"0.0000")</f>
        <v xml:space="preserve">  1.3448</v>
      </c>
      <c r="AG33" s="1"/>
    </row>
    <row r="34" spans="1:33">
      <c r="A34" s="230" t="str">
        <f>REPT(" ",5-LEN(TEXT(EXI_beam_diff!A34,"###"))) &amp; TEXT(EXI_beam_diff!A34,"###")</f>
        <v xml:space="preserve">   16</v>
      </c>
      <c r="B34" s="230" t="str">
        <f xml:space="preserve"> REPT(" ",8-LEN(TEXT(EXI_beam_diff!B34,"0.0000")))  &amp;  TEXT(EXI_beam_diff!B34,"0.0000")</f>
        <v xml:space="preserve">  1.3448</v>
      </c>
      <c r="C34" s="230" t="str">
        <f xml:space="preserve"> REPT(" ",8-LEN(TEXT(EXI_beam_diff!C34,"0.0000")))  &amp;  TEXT(EXI_beam_diff!C34,"0.0000")</f>
        <v xml:space="preserve">  0.0000</v>
      </c>
      <c r="D34" s="230" t="str">
        <f xml:space="preserve"> REPT(" ",8-LEN(TEXT(EXI_beam_diff!D34,"0.0000")))  &amp;  TEXT(EXI_beam_diff!D34,"0.0000")</f>
        <v xml:space="preserve">  0.0000</v>
      </c>
      <c r="E34" s="230" t="str">
        <f xml:space="preserve"> REPT(" ",19-LEN(TEXT(EXI_beam_diff!E34,"0.000000E+00")))  &amp;   TEXT(EXI_beam_diff!E34,"0.000000E+00")</f>
        <v xml:space="preserve">       1.448919E+00</v>
      </c>
      <c r="F34" s="230" t="str">
        <f xml:space="preserve"> REPT(" ",8-LEN(TEXT(EXI_beam_diff!F34,"0.0000")))  &amp;  TEXT(EXI_beam_diff!F34,"0.0000")</f>
        <v xml:space="preserve"> -0.0081</v>
      </c>
      <c r="G34" s="230" t="str">
        <f xml:space="preserve"> REPT(" ",8-LEN(TEXT(EXI_beam_diff!G34,"0.0000")))  &amp;  TEXT(EXI_beam_diff!G34,"0.0000")</f>
        <v xml:space="preserve">  0.0008</v>
      </c>
      <c r="H34" s="230" t="str">
        <f xml:space="preserve"> REPT(" ",19-LEN(TEXT(EXI_beam_diff!H34,"0.000000E+00")))  &amp;   TEXT(EXI_beam_diff!H34,"0.000000E+00")</f>
        <v xml:space="preserve">       8.752251E-06</v>
      </c>
      <c r="I34" s="230" t="str">
        <f xml:space="preserve"> REPT(" ",19-LEN(TEXT(EXI_beam_diff!I34,"0.000000E+00")))  &amp;   TEXT(EXI_beam_diff!I34,"0.000000E+00")</f>
        <v xml:space="preserve">       1.438419E-03</v>
      </c>
      <c r="J34" s="230" t="str">
        <f xml:space="preserve"> REPT(" ",19-LEN(TEXT(EXI_beam_diff!J34,"0.000000E+00")))  &amp;   TEXT(EXI_beam_diff!J34,"0.000000E+00")</f>
        <v xml:space="preserve">       2.190371E-05</v>
      </c>
      <c r="K34" s="230" t="str">
        <f xml:space="preserve"> REPT(" ",19-LEN(TEXT(EXI_beam_diff!K34,"0.000000E+00")))  &amp;   TEXT(EXI_beam_diff!K34,"0.000000E+00")</f>
        <v xml:space="preserve">       1.405496E+07</v>
      </c>
      <c r="L34" s="230" t="str">
        <f xml:space="preserve"> REPT(" ",19-LEN(TEXT(EXI_beam_diff!L34,"0.000000E+00")))  &amp;   TEXT(EXI_beam_diff!L34,"0.000000E+00")</f>
        <v xml:space="preserve">       1.344652E+04</v>
      </c>
      <c r="M34" s="230" t="str">
        <f xml:space="preserve"> REPT(" ",19-LEN(TEXT(EXI_beam_diff!M34,"0.000000E+00")))  &amp;   TEXT(EXI_beam_diff!M34,"0.000000E+00")</f>
        <v xml:space="preserve">       9.130608E+04</v>
      </c>
      <c r="N34" s="230" t="str">
        <f xml:space="preserve"> REPT(" ",19-LEN(TEXT(EXI_beam_diff!N34,"0.000000E+00")))  &amp;   TEXT(EXI_beam_diff!N34,"0.000000E+00")</f>
        <v xml:space="preserve">       9.209617E+01</v>
      </c>
      <c r="O34" s="230" t="str">
        <f xml:space="preserve"> REPT(" ",19-LEN(TEXT(EXI_beam_diff!O34,"0.000000E+00")))  &amp;   TEXT(EXI_beam_diff!O34,"0.000000E+00")</f>
        <v xml:space="preserve">       6.075099E+03</v>
      </c>
      <c r="P34" s="230" t="str">
        <f xml:space="preserve"> REPT(" ",19-LEN(TEXT(EXI_beam_diff!P34,"0.000000E+00")))  &amp;   TEXT(EXI_beam_diff!P34,"0.000000E+00")</f>
        <v xml:space="preserve">       2.381438E+02</v>
      </c>
      <c r="Q34" s="230" t="str">
        <f xml:space="preserve"> REPT(" ",19-LEN(TEXT(EXI_beam_diff!Q34,"0.000000E+00")))  &amp;   TEXT(EXI_beam_diff!Q34,"0.000000E+00")</f>
        <v xml:space="preserve">       8.210015E+01</v>
      </c>
      <c r="R34" s="230" t="str">
        <f xml:space="preserve"> REPT(" ",19-LEN(TEXT(EXI_beam_diff!R34,"0.000000E+00")))  &amp;   TEXT(EXI_beam_diff!R34,"0.000000E+00")</f>
        <v xml:space="preserve">       1.798420E+05</v>
      </c>
      <c r="S34" s="230" t="str">
        <f xml:space="preserve"> REPT(" ",19-LEN(TEXT(EXI_beam_diff!S34,"0.000000E+00")))  &amp;   TEXT(EXI_beam_diff!S34,"0.000000E+00")</f>
        <v xml:space="preserve">       1.591926E+05</v>
      </c>
      <c r="T34" s="230" t="str">
        <f xml:space="preserve"> REPT(" ",19-LEN(TEXT(EXI_beam_diff!T34,"0.000000E+00")))  &amp;   TEXT(EXI_beam_diff!T34,"0.000000E+00")</f>
        <v xml:space="preserve">       2.855363E+02</v>
      </c>
      <c r="U34" s="230" t="str">
        <f xml:space="preserve"> REPT(" ",19-LEN(TEXT(EXI_beam_diff!U34,"0.000000E+00")))  &amp;   TEXT(EXI_beam_diff!U34,"0.000000E+00")</f>
        <v xml:space="preserve">       1.220713E+03</v>
      </c>
      <c r="V34" s="230" t="str">
        <f xml:space="preserve"> REPT(" ",8-LEN(TEXT(EXI_beam_diff!V34,"0.0000")))  &amp;  TEXT(EXI_beam_diff!V34,"0.0000")</f>
        <v xml:space="preserve">  1.3448</v>
      </c>
    </row>
    <row r="35" spans="1:33">
      <c r="A35" s="230" t="str">
        <f>REPT(" ",5-LEN(TEXT(EXI_beam_diff!A35,"###"))) &amp; TEXT(EXI_beam_diff!A35,"###")</f>
        <v xml:space="preserve">     </v>
      </c>
      <c r="B35" s="230" t="str">
        <f xml:space="preserve"> REPT(" ",8-LEN(TEXT(EXI_beam_diff!B35,"0.0000")))  &amp;  TEXT(EXI_beam_diff!B35,"0.0000")</f>
        <v xml:space="preserve">  1.4292</v>
      </c>
      <c r="C35" s="230" t="str">
        <f xml:space="preserve"> REPT(" ",8-LEN(TEXT(EXI_beam_diff!C35,"0.0000")))  &amp;  TEXT(EXI_beam_diff!C35,"0.0000")</f>
        <v xml:space="preserve">  0.0000</v>
      </c>
      <c r="D35" s="230" t="str">
        <f xml:space="preserve"> REPT(" ",8-LEN(TEXT(EXI_beam_diff!D35,"0.0000")))  &amp;  TEXT(EXI_beam_diff!D35,"0.0000")</f>
        <v xml:space="preserve">  0.0000</v>
      </c>
      <c r="E35" s="230" t="str">
        <f xml:space="preserve"> REPT(" ",19-LEN(TEXT(EXI_beam_diff!E35,"0.000000E+00")))  &amp;   TEXT(EXI_beam_diff!E35,"0.000000E+00")</f>
        <v xml:space="preserve">       1.279232E+00</v>
      </c>
      <c r="F35" s="230" t="str">
        <f xml:space="preserve"> REPT(" ",8-LEN(TEXT(EXI_beam_diff!F35,"0.0000")))  &amp;  TEXT(EXI_beam_diff!F35,"0.0000")</f>
        <v xml:space="preserve"> -0.0045</v>
      </c>
      <c r="G35" s="230" t="str">
        <f xml:space="preserve"> REPT(" ",8-LEN(TEXT(EXI_beam_diff!G35,"0.0000")))  &amp;  TEXT(EXI_beam_diff!G35,"0.0000")</f>
        <v xml:space="preserve">  0.0010</v>
      </c>
      <c r="H35" s="230" t="str">
        <f xml:space="preserve"> REPT(" ",19-LEN(TEXT(EXI_beam_diff!H35,"0.000000E+00")))  &amp;   TEXT(EXI_beam_diff!H35,"0.000000E+00")</f>
        <v xml:space="preserve">       9.918908E-06</v>
      </c>
      <c r="I35" s="230" t="str">
        <f xml:space="preserve"> REPT(" ",19-LEN(TEXT(EXI_beam_diff!I35,"0.000000E+00")))  &amp;   TEXT(EXI_beam_diff!I35,"0.000000E+00")</f>
        <v xml:space="preserve">       1.318323E-03</v>
      </c>
      <c r="J35" s="230" t="str">
        <f xml:space="preserve"> REPT(" ",19-LEN(TEXT(EXI_beam_diff!J35,"0.000000E+00")))  &amp;   TEXT(EXI_beam_diff!J35,"0.000000E+00")</f>
        <v xml:space="preserve">       4.848139E-05</v>
      </c>
      <c r="K35" s="230" t="str">
        <f xml:space="preserve"> REPT(" ",19-LEN(TEXT(EXI_beam_diff!K35,"0.000000E+00")))  &amp;   TEXT(EXI_beam_diff!K35,"0.000000E+00")</f>
        <v xml:space="preserve">       1.383397E+07</v>
      </c>
      <c r="L35" s="230" t="str">
        <f xml:space="preserve"> REPT(" ",19-LEN(TEXT(EXI_beam_diff!L35,"0.000000E+00")))  &amp;   TEXT(EXI_beam_diff!L35,"0.000000E+00")</f>
        <v xml:space="preserve">       1.229840E+04</v>
      </c>
      <c r="M35" s="230" t="str">
        <f xml:space="preserve"> REPT(" ",19-LEN(TEXT(EXI_beam_diff!M35,"0.000000E+00")))  &amp;   TEXT(EXI_beam_diff!M35,"0.000000E+00")</f>
        <v xml:space="preserve">       9.158633E+04</v>
      </c>
      <c r="N35" s="230" t="str">
        <f xml:space="preserve"> REPT(" ",19-LEN(TEXT(EXI_beam_diff!N35,"0.000000E+00")))  &amp;   TEXT(EXI_beam_diff!N35,"0.000000E+00")</f>
        <v xml:space="preserve">       8.939680E+01</v>
      </c>
      <c r="O35" s="230" t="str">
        <f xml:space="preserve"> REPT(" ",19-LEN(TEXT(EXI_beam_diff!O35,"0.000000E+00")))  &amp;   TEXT(EXI_beam_diff!O35,"0.000000E+00")</f>
        <v xml:space="preserve">       6.039737E+03</v>
      </c>
      <c r="P35" s="230" t="str">
        <f xml:space="preserve"> REPT(" ",19-LEN(TEXT(EXI_beam_diff!P35,"0.000000E+00")))  &amp;   TEXT(EXI_beam_diff!P35,"0.000000E+00")</f>
        <v xml:space="preserve">       2.980967E+02</v>
      </c>
      <c r="Q35" s="230" t="str">
        <f xml:space="preserve"> REPT(" ",19-LEN(TEXT(EXI_beam_diff!Q35,"0.000000E+00")))  &amp;   TEXT(EXI_beam_diff!Q35,"0.000000E+00")</f>
        <v xml:space="preserve">       7.834594E+01</v>
      </c>
      <c r="R35" s="230" t="str">
        <f xml:space="preserve"> REPT(" ",19-LEN(TEXT(EXI_beam_diff!R35,"0.000000E+00")))  &amp;   TEXT(EXI_beam_diff!R35,"0.000000E+00")</f>
        <v xml:space="preserve">       1.700180E+05</v>
      </c>
      <c r="S35" s="230" t="str">
        <f xml:space="preserve"> REPT(" ",19-LEN(TEXT(EXI_beam_diff!S35,"0.000000E+00")))  &amp;   TEXT(EXI_beam_diff!S35,"0.000000E+00")</f>
        <v xml:space="preserve">       1.505268E+05</v>
      </c>
      <c r="T35" s="230" t="str">
        <f xml:space="preserve"> REPT(" ",19-LEN(TEXT(EXI_beam_diff!T35,"0.000000E+00")))  &amp;   TEXT(EXI_beam_diff!T35,"0.000000E+00")</f>
        <v xml:space="preserve">       2.549562E+02</v>
      </c>
      <c r="U35" s="230" t="str">
        <f xml:space="preserve"> REPT(" ",19-LEN(TEXT(EXI_beam_diff!U35,"0.000000E+00")))  &amp;   TEXT(EXI_beam_diff!U35,"0.000000E+00")</f>
        <v xml:space="preserve">       1.208209E+03</v>
      </c>
      <c r="V35" s="230" t="str">
        <f xml:space="preserve"> REPT(" ",8-LEN(TEXT(EXI_beam_diff!V35,"0.0000")))  &amp;  TEXT(EXI_beam_diff!V35,"0.0000")</f>
        <v xml:space="preserve">  1.4292</v>
      </c>
      <c r="AG35" s="1"/>
    </row>
    <row r="36" spans="1:33">
      <c r="A36" s="230" t="str">
        <f>REPT(" ",5-LEN(TEXT(EXI_beam_diff!A36,"###"))) &amp; TEXT(EXI_beam_diff!A36,"###")</f>
        <v xml:space="preserve">   17</v>
      </c>
      <c r="B36" s="230" t="str">
        <f xml:space="preserve"> REPT(" ",8-LEN(TEXT(EXI_beam_diff!B36,"0.0000")))  &amp;  TEXT(EXI_beam_diff!B36,"0.0000")</f>
        <v xml:space="preserve">  1.4292</v>
      </c>
      <c r="C36" s="230" t="str">
        <f xml:space="preserve"> REPT(" ",8-LEN(TEXT(EXI_beam_diff!C36,"0.0000")))  &amp;  TEXT(EXI_beam_diff!C36,"0.0000")</f>
        <v xml:space="preserve">  0.0000</v>
      </c>
      <c r="D36" s="230" t="str">
        <f xml:space="preserve"> REPT(" ",8-LEN(TEXT(EXI_beam_diff!D36,"0.0000")))  &amp;  TEXT(EXI_beam_diff!D36,"0.0000")</f>
        <v xml:space="preserve">  0.0000</v>
      </c>
      <c r="E36" s="230" t="str">
        <f xml:space="preserve"> REPT(" ",19-LEN(TEXT(EXI_beam_diff!E36,"0.000000E+00")))  &amp;   TEXT(EXI_beam_diff!E36,"0.000000E+00")</f>
        <v xml:space="preserve">       1.279232E+00</v>
      </c>
      <c r="F36" s="230" t="str">
        <f xml:space="preserve"> REPT(" ",8-LEN(TEXT(EXI_beam_diff!F36,"0.0000")))  &amp;  TEXT(EXI_beam_diff!F36,"0.0000")</f>
        <v xml:space="preserve"> -0.0045</v>
      </c>
      <c r="G36" s="230" t="str">
        <f xml:space="preserve"> REPT(" ",8-LEN(TEXT(EXI_beam_diff!G36,"0.0000")))  &amp;  TEXT(EXI_beam_diff!G36,"0.0000")</f>
        <v xml:space="preserve">  0.0010</v>
      </c>
      <c r="H36" s="230" t="str">
        <f xml:space="preserve"> REPT(" ",19-LEN(TEXT(EXI_beam_diff!H36,"0.000000E+00")))  &amp;   TEXT(EXI_beam_diff!H36,"0.000000E+00")</f>
        <v xml:space="preserve">       9.918908E-06</v>
      </c>
      <c r="I36" s="230" t="str">
        <f xml:space="preserve"> REPT(" ",19-LEN(TEXT(EXI_beam_diff!I36,"0.000000E+00")))  &amp;   TEXT(EXI_beam_diff!I36,"0.000000E+00")</f>
        <v xml:space="preserve">       1.318323E-03</v>
      </c>
      <c r="J36" s="230" t="str">
        <f xml:space="preserve"> REPT(" ",19-LEN(TEXT(EXI_beam_diff!J36,"0.000000E+00")))  &amp;   TEXT(EXI_beam_diff!J36,"0.000000E+00")</f>
        <v xml:space="preserve">       4.848139E-05</v>
      </c>
      <c r="K36" s="230" t="str">
        <f xml:space="preserve"> REPT(" ",19-LEN(TEXT(EXI_beam_diff!K36,"0.000000E+00")))  &amp;   TEXT(EXI_beam_diff!K36,"0.000000E+00")</f>
        <v xml:space="preserve">       1.383397E+07</v>
      </c>
      <c r="L36" s="230" t="str">
        <f xml:space="preserve"> REPT(" ",19-LEN(TEXT(EXI_beam_diff!L36,"0.000000E+00")))  &amp;   TEXT(EXI_beam_diff!L36,"0.000000E+00")</f>
        <v xml:space="preserve">       1.229840E+04</v>
      </c>
      <c r="M36" s="230" t="str">
        <f xml:space="preserve"> REPT(" ",19-LEN(TEXT(EXI_beam_diff!M36,"0.000000E+00")))  &amp;   TEXT(EXI_beam_diff!M36,"0.000000E+00")</f>
        <v xml:space="preserve">       9.158633E+04</v>
      </c>
      <c r="N36" s="230" t="str">
        <f xml:space="preserve"> REPT(" ",19-LEN(TEXT(EXI_beam_diff!N36,"0.000000E+00")))  &amp;   TEXT(EXI_beam_diff!N36,"0.000000E+00")</f>
        <v xml:space="preserve">       8.939680E+01</v>
      </c>
      <c r="O36" s="230" t="str">
        <f xml:space="preserve"> REPT(" ",19-LEN(TEXT(EXI_beam_diff!O36,"0.000000E+00")))  &amp;   TEXT(EXI_beam_diff!O36,"0.000000E+00")</f>
        <v xml:space="preserve">       6.039737E+03</v>
      </c>
      <c r="P36" s="230" t="str">
        <f xml:space="preserve"> REPT(" ",19-LEN(TEXT(EXI_beam_diff!P36,"0.000000E+00")))  &amp;   TEXT(EXI_beam_diff!P36,"0.000000E+00")</f>
        <v xml:space="preserve">       2.980967E+02</v>
      </c>
      <c r="Q36" s="230" t="str">
        <f xml:space="preserve"> REPT(" ",19-LEN(TEXT(EXI_beam_diff!Q36,"0.000000E+00")))  &amp;   TEXT(EXI_beam_diff!Q36,"0.000000E+00")</f>
        <v xml:space="preserve">       7.834594E+01</v>
      </c>
      <c r="R36" s="230" t="str">
        <f xml:space="preserve"> REPT(" ",19-LEN(TEXT(EXI_beam_diff!R36,"0.000000E+00")))  &amp;   TEXT(EXI_beam_diff!R36,"0.000000E+00")</f>
        <v xml:space="preserve">       1.700180E+05</v>
      </c>
      <c r="S36" s="230" t="str">
        <f xml:space="preserve"> REPT(" ",19-LEN(TEXT(EXI_beam_diff!S36,"0.000000E+00")))  &amp;   TEXT(EXI_beam_diff!S36,"0.000000E+00")</f>
        <v xml:space="preserve">       1.505268E+05</v>
      </c>
      <c r="T36" s="230" t="str">
        <f xml:space="preserve"> REPT(" ",19-LEN(TEXT(EXI_beam_diff!T36,"0.000000E+00")))  &amp;   TEXT(EXI_beam_diff!T36,"0.000000E+00")</f>
        <v xml:space="preserve">       2.549562E+02</v>
      </c>
      <c r="U36" s="230" t="str">
        <f xml:space="preserve"> REPT(" ",19-LEN(TEXT(EXI_beam_diff!U36,"0.000000E+00")))  &amp;   TEXT(EXI_beam_diff!U36,"0.000000E+00")</f>
        <v xml:space="preserve">       1.208209E+03</v>
      </c>
      <c r="V36" s="230" t="str">
        <f xml:space="preserve"> REPT(" ",8-LEN(TEXT(EXI_beam_diff!V36,"0.0000")))  &amp;  TEXT(EXI_beam_diff!V36,"0.0000")</f>
        <v xml:space="preserve">  1.4292</v>
      </c>
    </row>
    <row r="37" spans="1:33">
      <c r="A37" s="230" t="str">
        <f>REPT(" ",5-LEN(TEXT(EXI_beam_diff!A37,"###"))) &amp; TEXT(EXI_beam_diff!A37,"###")</f>
        <v xml:space="preserve">     </v>
      </c>
      <c r="B37" s="230" t="str">
        <f xml:space="preserve"> REPT(" ",8-LEN(TEXT(EXI_beam_diff!B37,"0.0000")))  &amp;  TEXT(EXI_beam_diff!B37,"0.0000")</f>
        <v xml:space="preserve">  1.4820</v>
      </c>
      <c r="C37" s="230" t="str">
        <f xml:space="preserve"> REPT(" ",8-LEN(TEXT(EXI_beam_diff!C37,"0.0000")))  &amp;  TEXT(EXI_beam_diff!C37,"0.0000")</f>
        <v xml:space="preserve">  0.0000</v>
      </c>
      <c r="D37" s="230" t="str">
        <f xml:space="preserve"> REPT(" ",8-LEN(TEXT(EXI_beam_diff!D37,"0.0000")))  &amp;  TEXT(EXI_beam_diff!D37,"0.0000")</f>
        <v xml:space="preserve">  0.0000</v>
      </c>
      <c r="E37" s="230" t="str">
        <f xml:space="preserve"> REPT(" ",19-LEN(TEXT(EXI_beam_diff!E37,"0.000000E+00")))  &amp;   TEXT(EXI_beam_diff!E37,"0.000000E+00")</f>
        <v xml:space="preserve">       1.200040E+00</v>
      </c>
      <c r="F37" s="230" t="str">
        <f xml:space="preserve"> REPT(" ",8-LEN(TEXT(EXI_beam_diff!F37,"0.0000")))  &amp;  TEXT(EXI_beam_diff!F37,"0.0000")</f>
        <v xml:space="preserve"> -0.0017</v>
      </c>
      <c r="G37" s="230" t="str">
        <f xml:space="preserve"> REPT(" ",8-LEN(TEXT(EXI_beam_diff!G37,"0.0000")))  &amp;  TEXT(EXI_beam_diff!G37,"0.0000")</f>
        <v xml:space="preserve">  0.0005</v>
      </c>
      <c r="H37" s="230" t="str">
        <f xml:space="preserve"> REPT(" ",19-LEN(TEXT(EXI_beam_diff!H37,"0.000000E+00")))  &amp;   TEXT(EXI_beam_diff!H37,"0.000000E+00")</f>
        <v xml:space="preserve">       8.709080E-06</v>
      </c>
      <c r="I37" s="230" t="str">
        <f xml:space="preserve"> REPT(" ",19-LEN(TEXT(EXI_beam_diff!I37,"0.000000E+00")))  &amp;   TEXT(EXI_beam_diff!I37,"0.000000E+00")</f>
        <v xml:space="preserve">       1.262343E-03</v>
      </c>
      <c r="J37" s="230" t="str">
        <f xml:space="preserve"> REPT(" ",19-LEN(TEXT(EXI_beam_diff!J37,"0.000000E+00")))  &amp;   TEXT(EXI_beam_diff!J37,"0.000000E+00")</f>
        <v xml:space="preserve">       4.122394E-05</v>
      </c>
      <c r="K37" s="230" t="str">
        <f xml:space="preserve"> REPT(" ",19-LEN(TEXT(EXI_beam_diff!K37,"0.000000E+00")))  &amp;   TEXT(EXI_beam_diff!K37,"0.000000E+00")</f>
        <v xml:space="preserve">       1.387861E+07</v>
      </c>
      <c r="L37" s="230" t="str">
        <f xml:space="preserve"> REPT(" ",19-LEN(TEXT(EXI_beam_diff!L37,"0.000000E+00")))  &amp;   TEXT(EXI_beam_diff!L37,"0.000000E+00")</f>
        <v xml:space="preserve">       1.233938E+04</v>
      </c>
      <c r="M37" s="230" t="str">
        <f xml:space="preserve"> REPT(" ",19-LEN(TEXT(EXI_beam_diff!M37,"0.000000E+00")))  &amp;   TEXT(EXI_beam_diff!M37,"0.000000E+00")</f>
        <v xml:space="preserve">       9.201592E+04</v>
      </c>
      <c r="N37" s="230" t="str">
        <f xml:space="preserve"> REPT(" ",19-LEN(TEXT(EXI_beam_diff!N37,"0.000000E+00")))  &amp;   TEXT(EXI_beam_diff!N37,"0.000000E+00")</f>
        <v xml:space="preserve">       9.292460E+01</v>
      </c>
      <c r="O37" s="230" t="str">
        <f xml:space="preserve"> REPT(" ",19-LEN(TEXT(EXI_beam_diff!O37,"0.000000E+00")))  &amp;   TEXT(EXI_beam_diff!O37,"0.000000E+00")</f>
        <v xml:space="preserve">       6.051008E+03</v>
      </c>
      <c r="P37" s="230" t="str">
        <f xml:space="preserve"> REPT(" ",19-LEN(TEXT(EXI_beam_diff!P37,"0.000000E+00")))  &amp;   TEXT(EXI_beam_diff!P37,"0.000000E+00")</f>
        <v xml:space="preserve">       3.390408E+02</v>
      </c>
      <c r="Q37" s="230" t="str">
        <f xml:space="preserve"> REPT(" ",19-LEN(TEXT(EXI_beam_diff!Q37,"0.000000E+00")))  &amp;   TEXT(EXI_beam_diff!Q37,"0.000000E+00")</f>
        <v xml:space="preserve">       7.921003E+01</v>
      </c>
      <c r="R37" s="230" t="str">
        <f xml:space="preserve"> REPT(" ",19-LEN(TEXT(EXI_beam_diff!R37,"0.000000E+00")))  &amp;   TEXT(EXI_beam_diff!R37,"0.000000E+00")</f>
        <v xml:space="preserve">       1.716951E+05</v>
      </c>
      <c r="S37" s="230" t="str">
        <f xml:space="preserve"> REPT(" ",19-LEN(TEXT(EXI_beam_diff!S37,"0.000000E+00")))  &amp;   TEXT(EXI_beam_diff!S37,"0.000000E+00")</f>
        <v xml:space="preserve">       1.520318E+05</v>
      </c>
      <c r="T37" s="230" t="str">
        <f xml:space="preserve"> REPT(" ",19-LEN(TEXT(EXI_beam_diff!T37,"0.000000E+00")))  &amp;   TEXT(EXI_beam_diff!T37,"0.000000E+00")</f>
        <v xml:space="preserve">       2.588887E+02</v>
      </c>
      <c r="U37" s="230" t="str">
        <f xml:space="preserve"> REPT(" ",19-LEN(TEXT(EXI_beam_diff!U37,"0.000000E+00")))  &amp;   TEXT(EXI_beam_diff!U37,"0.000000E+00")</f>
        <v xml:space="preserve">       1.265488E+03</v>
      </c>
      <c r="V37" s="230" t="str">
        <f xml:space="preserve"> REPT(" ",8-LEN(TEXT(EXI_beam_diff!V37,"0.0000")))  &amp;  TEXT(EXI_beam_diff!V37,"0.0000")</f>
        <v xml:space="preserve">  1.4820</v>
      </c>
      <c r="AG37" s="1"/>
    </row>
    <row r="38" spans="1:33">
      <c r="A38" s="230" t="str">
        <f>REPT(" ",5-LEN(TEXT(EXI_beam_diff!A38,"###"))) &amp; TEXT(EXI_beam_diff!A38,"###")</f>
        <v xml:space="preserve">   18</v>
      </c>
      <c r="B38" s="230" t="str">
        <f xml:space="preserve"> REPT(" ",8-LEN(TEXT(EXI_beam_diff!B38,"0.0000")))  &amp;  TEXT(EXI_beam_diff!B38,"0.0000")</f>
        <v xml:space="preserve">  1.4820</v>
      </c>
      <c r="C38" s="230" t="str">
        <f xml:space="preserve"> REPT(" ",8-LEN(TEXT(EXI_beam_diff!C38,"0.0000")))  &amp;  TEXT(EXI_beam_diff!C38,"0.0000")</f>
        <v xml:space="preserve">  0.0000</v>
      </c>
      <c r="D38" s="230" t="str">
        <f xml:space="preserve"> REPT(" ",8-LEN(TEXT(EXI_beam_diff!D38,"0.0000")))  &amp;  TEXT(EXI_beam_diff!D38,"0.0000")</f>
        <v xml:space="preserve">  0.0000</v>
      </c>
      <c r="E38" s="230" t="str">
        <f xml:space="preserve"> REPT(" ",19-LEN(TEXT(EXI_beam_diff!E38,"0.000000E+00")))  &amp;   TEXT(EXI_beam_diff!E38,"0.000000E+00")</f>
        <v xml:space="preserve">       1.200040E+00</v>
      </c>
      <c r="F38" s="230" t="str">
        <f xml:space="preserve"> REPT(" ",8-LEN(TEXT(EXI_beam_diff!F38,"0.0000")))  &amp;  TEXT(EXI_beam_diff!F38,"0.0000")</f>
        <v xml:space="preserve"> -0.0017</v>
      </c>
      <c r="G38" s="230" t="str">
        <f xml:space="preserve"> REPT(" ",8-LEN(TEXT(EXI_beam_diff!G38,"0.0000")))  &amp;  TEXT(EXI_beam_diff!G38,"0.0000")</f>
        <v xml:space="preserve">  0.0005</v>
      </c>
      <c r="H38" s="230" t="str">
        <f xml:space="preserve"> REPT(" ",19-LEN(TEXT(EXI_beam_diff!H38,"0.000000E+00")))  &amp;   TEXT(EXI_beam_diff!H38,"0.000000E+00")</f>
        <v xml:space="preserve">       8.709080E-06</v>
      </c>
      <c r="I38" s="230" t="str">
        <f xml:space="preserve"> REPT(" ",19-LEN(TEXT(EXI_beam_diff!I38,"0.000000E+00")))  &amp;   TEXT(EXI_beam_diff!I38,"0.000000E+00")</f>
        <v xml:space="preserve">       1.262343E-03</v>
      </c>
      <c r="J38" s="230" t="str">
        <f xml:space="preserve"> REPT(" ",19-LEN(TEXT(EXI_beam_diff!J38,"0.000000E+00")))  &amp;   TEXT(EXI_beam_diff!J38,"0.000000E+00")</f>
        <v xml:space="preserve">       4.122394E-05</v>
      </c>
      <c r="K38" s="230" t="str">
        <f xml:space="preserve"> REPT(" ",19-LEN(TEXT(EXI_beam_diff!K38,"0.000000E+00")))  &amp;   TEXT(EXI_beam_diff!K38,"0.000000E+00")</f>
        <v xml:space="preserve">       1.387861E+07</v>
      </c>
      <c r="L38" s="230" t="str">
        <f xml:space="preserve"> REPT(" ",19-LEN(TEXT(EXI_beam_diff!L38,"0.000000E+00")))  &amp;   TEXT(EXI_beam_diff!L38,"0.000000E+00")</f>
        <v xml:space="preserve">       1.233938E+04</v>
      </c>
      <c r="M38" s="230" t="str">
        <f xml:space="preserve"> REPT(" ",19-LEN(TEXT(EXI_beam_diff!M38,"0.000000E+00")))  &amp;   TEXT(EXI_beam_diff!M38,"0.000000E+00")</f>
        <v xml:space="preserve">       9.201592E+04</v>
      </c>
      <c r="N38" s="230" t="str">
        <f xml:space="preserve"> REPT(" ",19-LEN(TEXT(EXI_beam_diff!N38,"0.000000E+00")))  &amp;   TEXT(EXI_beam_diff!N38,"0.000000E+00")</f>
        <v xml:space="preserve">       9.292460E+01</v>
      </c>
      <c r="O38" s="230" t="str">
        <f xml:space="preserve"> REPT(" ",19-LEN(TEXT(EXI_beam_diff!O38,"0.000000E+00")))  &amp;   TEXT(EXI_beam_diff!O38,"0.000000E+00")</f>
        <v xml:space="preserve">       6.051008E+03</v>
      </c>
      <c r="P38" s="230" t="str">
        <f xml:space="preserve"> REPT(" ",19-LEN(TEXT(EXI_beam_diff!P38,"0.000000E+00")))  &amp;   TEXT(EXI_beam_diff!P38,"0.000000E+00")</f>
        <v xml:space="preserve">       3.390408E+02</v>
      </c>
      <c r="Q38" s="230" t="str">
        <f xml:space="preserve"> REPT(" ",19-LEN(TEXT(EXI_beam_diff!Q38,"0.000000E+00")))  &amp;   TEXT(EXI_beam_diff!Q38,"0.000000E+00")</f>
        <v xml:space="preserve">       7.921003E+01</v>
      </c>
      <c r="R38" s="230" t="str">
        <f xml:space="preserve"> REPT(" ",19-LEN(TEXT(EXI_beam_diff!R38,"0.000000E+00")))  &amp;   TEXT(EXI_beam_diff!R38,"0.000000E+00")</f>
        <v xml:space="preserve">       1.716951E+05</v>
      </c>
      <c r="S38" s="230" t="str">
        <f xml:space="preserve"> REPT(" ",19-LEN(TEXT(EXI_beam_diff!S38,"0.000000E+00")))  &amp;   TEXT(EXI_beam_diff!S38,"0.000000E+00")</f>
        <v xml:space="preserve">       1.520318E+05</v>
      </c>
      <c r="T38" s="230" t="str">
        <f xml:space="preserve"> REPT(" ",19-LEN(TEXT(EXI_beam_diff!T38,"0.000000E+00")))  &amp;   TEXT(EXI_beam_diff!T38,"0.000000E+00")</f>
        <v xml:space="preserve">       2.588887E+02</v>
      </c>
      <c r="U38" s="230" t="str">
        <f xml:space="preserve"> REPT(" ",19-LEN(TEXT(EXI_beam_diff!U38,"0.000000E+00")))  &amp;   TEXT(EXI_beam_diff!U38,"0.000000E+00")</f>
        <v xml:space="preserve">       1.265488E+03</v>
      </c>
      <c r="V38" s="230" t="str">
        <f xml:space="preserve"> REPT(" ",8-LEN(TEXT(EXI_beam_diff!V38,"0.0000")))  &amp;  TEXT(EXI_beam_diff!V38,"0.0000")</f>
        <v xml:space="preserve">  1.4820</v>
      </c>
    </row>
    <row r="39" spans="1:33">
      <c r="A39" s="230" t="str">
        <f>REPT(" ",5-LEN(TEXT(EXI_beam_diff!A39,"###"))) &amp; TEXT(EXI_beam_diff!A39,"###")</f>
        <v xml:space="preserve">     </v>
      </c>
      <c r="B39" s="230" t="str">
        <f xml:space="preserve"> REPT(" ",8-LEN(TEXT(EXI_beam_diff!B39,"0.0000")))  &amp;  TEXT(EXI_beam_diff!B39,"0.0000")</f>
        <v xml:space="preserve">  1.5161</v>
      </c>
      <c r="C39" s="230" t="str">
        <f xml:space="preserve"> REPT(" ",8-LEN(TEXT(EXI_beam_diff!C39,"0.0000")))  &amp;  TEXT(EXI_beam_diff!C39,"0.0000")</f>
        <v xml:space="preserve">  0.0000</v>
      </c>
      <c r="D39" s="230" t="str">
        <f xml:space="preserve"> REPT(" ",8-LEN(TEXT(EXI_beam_diff!D39,"0.0000")))  &amp;  TEXT(EXI_beam_diff!D39,"0.0000")</f>
        <v xml:space="preserve">  0.0000</v>
      </c>
      <c r="E39" s="230" t="str">
        <f xml:space="preserve"> REPT(" ",19-LEN(TEXT(EXI_beam_diff!E39,"0.000000E+00")))  &amp;   TEXT(EXI_beam_diff!E39,"0.000000E+00")</f>
        <v xml:space="preserve">       1.059803E+00</v>
      </c>
      <c r="F39" s="230" t="str">
        <f xml:space="preserve"> REPT(" ",8-LEN(TEXT(EXI_beam_diff!F39,"0.0000")))  &amp;  TEXT(EXI_beam_diff!F39,"0.0000")</f>
        <v xml:space="preserve">  0.0039</v>
      </c>
      <c r="G39" s="230" t="str">
        <f xml:space="preserve"> REPT(" ",8-LEN(TEXT(EXI_beam_diff!G39,"0.0000")))  &amp;  TEXT(EXI_beam_diff!G39,"0.0000")</f>
        <v xml:space="preserve">  0.0004</v>
      </c>
      <c r="H39" s="230" t="str">
        <f xml:space="preserve"> REPT(" ",19-LEN(TEXT(EXI_beam_diff!H39,"0.000000E+00")))  &amp;   TEXT(EXI_beam_diff!H39,"0.000000E+00")</f>
        <v xml:space="preserve">       7.925436E-06</v>
      </c>
      <c r="I39" s="230" t="str">
        <f xml:space="preserve"> REPT(" ",19-LEN(TEXT(EXI_beam_diff!I39,"0.000000E+00")))  &amp;   TEXT(EXI_beam_diff!I39,"0.000000E+00")</f>
        <v xml:space="preserve">       1.201679E-03</v>
      </c>
      <c r="J39" s="230" t="str">
        <f xml:space="preserve"> REPT(" ",19-LEN(TEXT(EXI_beam_diff!J39,"0.000000E+00")))  &amp;   TEXT(EXI_beam_diff!J39,"0.000000E+00")</f>
        <v xml:space="preserve">       3.965658E-05</v>
      </c>
      <c r="K39" s="230" t="str">
        <f xml:space="preserve"> REPT(" ",19-LEN(TEXT(EXI_beam_diff!K39,"0.000000E+00")))  &amp;   TEXT(EXI_beam_diff!K39,"0.000000E+00")</f>
        <v xml:space="preserve">       1.176911E+07</v>
      </c>
      <c r="L39" s="230" t="str">
        <f xml:space="preserve"> REPT(" ",19-LEN(TEXT(EXI_beam_diff!L39,"0.000000E+00")))  &amp;   TEXT(EXI_beam_diff!L39,"0.000000E+00")</f>
        <v xml:space="preserve">       1.028225E+04</v>
      </c>
      <c r="M39" s="230" t="str">
        <f xml:space="preserve"> REPT(" ",19-LEN(TEXT(EXI_beam_diff!M39,"0.000000E+00")))  &amp;   TEXT(EXI_beam_diff!M39,"0.000000E+00")</f>
        <v xml:space="preserve">       8.126404E+04</v>
      </c>
      <c r="N39" s="230" t="str">
        <f xml:space="preserve"> REPT(" ",19-LEN(TEXT(EXI_beam_diff!N39,"0.000000E+00")))  &amp;   TEXT(EXI_beam_diff!N39,"0.000000E+00")</f>
        <v xml:space="preserve">       7.400649E+01</v>
      </c>
      <c r="O39" s="230" t="str">
        <f xml:space="preserve"> REPT(" ",19-LEN(TEXT(EXI_beam_diff!O39,"0.000000E+00")))  &amp;   TEXT(EXI_beam_diff!O39,"0.000000E+00")</f>
        <v xml:space="preserve">       5.006396E+03</v>
      </c>
      <c r="P39" s="230" t="str">
        <f xml:space="preserve"> REPT(" ",19-LEN(TEXT(EXI_beam_diff!P39,"0.000000E+00")))  &amp;   TEXT(EXI_beam_diff!P39,"0.000000E+00")</f>
        <v xml:space="preserve">       2.890616E+02</v>
      </c>
      <c r="Q39" s="230" t="str">
        <f xml:space="preserve"> REPT(" ",19-LEN(TEXT(EXI_beam_diff!Q39,"0.000000E+00")))  &amp;   TEXT(EXI_beam_diff!Q39,"0.000000E+00")</f>
        <v xml:space="preserve">       6.211683E+01</v>
      </c>
      <c r="R39" s="230" t="str">
        <f xml:space="preserve"> REPT(" ",19-LEN(TEXT(EXI_beam_diff!R39,"0.000000E+00")))  &amp;   TEXT(EXI_beam_diff!R39,"0.000000E+00")</f>
        <v xml:space="preserve">       1.353108E+05</v>
      </c>
      <c r="S39" s="230" t="str">
        <f xml:space="preserve"> REPT(" ",19-LEN(TEXT(EXI_beam_diff!S39,"0.000000E+00")))  &amp;   TEXT(EXI_beam_diff!S39,"0.000000E+00")</f>
        <v xml:space="preserve">       1.198213E+05</v>
      </c>
      <c r="T39" s="230" t="str">
        <f xml:space="preserve"> REPT(" ",19-LEN(TEXT(EXI_beam_diff!T39,"0.000000E+00")))  &amp;   TEXT(EXI_beam_diff!T39,"0.000000E+00")</f>
        <v xml:space="preserve">       2.124742E+02</v>
      </c>
      <c r="U39" s="230" t="str">
        <f xml:space="preserve"> REPT(" ",19-LEN(TEXT(EXI_beam_diff!U39,"0.000000E+00")))  &amp;   TEXT(EXI_beam_diff!U39,"0.000000E+00")</f>
        <v xml:space="preserve">       9.787749E+02</v>
      </c>
      <c r="V39" s="230" t="str">
        <f xml:space="preserve"> REPT(" ",8-LEN(TEXT(EXI_beam_diff!V39,"0.0000")))  &amp;  TEXT(EXI_beam_diff!V39,"0.0000")</f>
        <v xml:space="preserve">  1.5161</v>
      </c>
      <c r="AG39" s="1"/>
    </row>
    <row r="40" spans="1:33">
      <c r="A40" s="230" t="str">
        <f>REPT(" ",5-LEN(TEXT(EXI_beam_diff!A40,"###"))) &amp; TEXT(EXI_beam_diff!A40,"###")</f>
        <v xml:space="preserve">   19</v>
      </c>
      <c r="B40" s="230" t="str">
        <f xml:space="preserve"> REPT(" ",8-LEN(TEXT(EXI_beam_diff!B40,"0.0000")))  &amp;  TEXT(EXI_beam_diff!B40,"0.0000")</f>
        <v xml:space="preserve">  1.5161</v>
      </c>
      <c r="C40" s="230" t="str">
        <f xml:space="preserve"> REPT(" ",8-LEN(TEXT(EXI_beam_diff!C40,"0.0000")))  &amp;  TEXT(EXI_beam_diff!C40,"0.0000")</f>
        <v xml:space="preserve">  0.0000</v>
      </c>
      <c r="D40" s="230" t="str">
        <f xml:space="preserve"> REPT(" ",8-LEN(TEXT(EXI_beam_diff!D40,"0.0000")))  &amp;  TEXT(EXI_beam_diff!D40,"0.0000")</f>
        <v xml:space="preserve">  0.0000</v>
      </c>
      <c r="E40" s="230" t="str">
        <f xml:space="preserve"> REPT(" ",19-LEN(TEXT(EXI_beam_diff!E40,"0.000000E+00")))  &amp;   TEXT(EXI_beam_diff!E40,"0.000000E+00")</f>
        <v xml:space="preserve">       1.059803E+00</v>
      </c>
      <c r="F40" s="230" t="str">
        <f xml:space="preserve"> REPT(" ",8-LEN(TEXT(EXI_beam_diff!F40,"0.0000")))  &amp;  TEXT(EXI_beam_diff!F40,"0.0000")</f>
        <v xml:space="preserve">  0.0039</v>
      </c>
      <c r="G40" s="230" t="str">
        <f xml:space="preserve"> REPT(" ",8-LEN(TEXT(EXI_beam_diff!G40,"0.0000")))  &amp;  TEXT(EXI_beam_diff!G40,"0.0000")</f>
        <v xml:space="preserve">  0.0004</v>
      </c>
      <c r="H40" s="230" t="str">
        <f xml:space="preserve"> REPT(" ",19-LEN(TEXT(EXI_beam_diff!H40,"0.000000E+00")))  &amp;   TEXT(EXI_beam_diff!H40,"0.000000E+00")</f>
        <v xml:space="preserve">       7.925436E-06</v>
      </c>
      <c r="I40" s="230" t="str">
        <f xml:space="preserve"> REPT(" ",19-LEN(TEXT(EXI_beam_diff!I40,"0.000000E+00")))  &amp;   TEXT(EXI_beam_diff!I40,"0.000000E+00")</f>
        <v xml:space="preserve">       1.201679E-03</v>
      </c>
      <c r="J40" s="230" t="str">
        <f xml:space="preserve"> REPT(" ",19-LEN(TEXT(EXI_beam_diff!J40,"0.000000E+00")))  &amp;   TEXT(EXI_beam_diff!J40,"0.000000E+00")</f>
        <v xml:space="preserve">       3.965658E-05</v>
      </c>
      <c r="K40" s="230" t="str">
        <f xml:space="preserve"> REPT(" ",19-LEN(TEXT(EXI_beam_diff!K40,"0.000000E+00")))  &amp;   TEXT(EXI_beam_diff!K40,"0.000000E+00")</f>
        <v xml:space="preserve">       1.176911E+07</v>
      </c>
      <c r="L40" s="230" t="str">
        <f xml:space="preserve"> REPT(" ",19-LEN(TEXT(EXI_beam_diff!L40,"0.000000E+00")))  &amp;   TEXT(EXI_beam_diff!L40,"0.000000E+00")</f>
        <v xml:space="preserve">       1.028225E+04</v>
      </c>
      <c r="M40" s="230" t="str">
        <f xml:space="preserve"> REPT(" ",19-LEN(TEXT(EXI_beam_diff!M40,"0.000000E+00")))  &amp;   TEXT(EXI_beam_diff!M40,"0.000000E+00")</f>
        <v xml:space="preserve">       8.126404E+04</v>
      </c>
      <c r="N40" s="230" t="str">
        <f xml:space="preserve"> REPT(" ",19-LEN(TEXT(EXI_beam_diff!N40,"0.000000E+00")))  &amp;   TEXT(EXI_beam_diff!N40,"0.000000E+00")</f>
        <v xml:space="preserve">       7.400649E+01</v>
      </c>
      <c r="O40" s="230" t="str">
        <f xml:space="preserve"> REPT(" ",19-LEN(TEXT(EXI_beam_diff!O40,"0.000000E+00")))  &amp;   TEXT(EXI_beam_diff!O40,"0.000000E+00")</f>
        <v xml:space="preserve">       5.006396E+03</v>
      </c>
      <c r="P40" s="230" t="str">
        <f xml:space="preserve"> REPT(" ",19-LEN(TEXT(EXI_beam_diff!P40,"0.000000E+00")))  &amp;   TEXT(EXI_beam_diff!P40,"0.000000E+00")</f>
        <v xml:space="preserve">       2.890616E+02</v>
      </c>
      <c r="Q40" s="230" t="str">
        <f xml:space="preserve"> REPT(" ",19-LEN(TEXT(EXI_beam_diff!Q40,"0.000000E+00")))  &amp;   TEXT(EXI_beam_diff!Q40,"0.000000E+00")</f>
        <v xml:space="preserve">       6.211683E+01</v>
      </c>
      <c r="R40" s="230" t="str">
        <f xml:space="preserve"> REPT(" ",19-LEN(TEXT(EXI_beam_diff!R40,"0.000000E+00")))  &amp;   TEXT(EXI_beam_diff!R40,"0.000000E+00")</f>
        <v xml:space="preserve">       1.353108E+05</v>
      </c>
      <c r="S40" s="230" t="str">
        <f xml:space="preserve"> REPT(" ",19-LEN(TEXT(EXI_beam_diff!S40,"0.000000E+00")))  &amp;   TEXT(EXI_beam_diff!S40,"0.000000E+00")</f>
        <v xml:space="preserve">       1.198213E+05</v>
      </c>
      <c r="T40" s="230" t="str">
        <f xml:space="preserve"> REPT(" ",19-LEN(TEXT(EXI_beam_diff!T40,"0.000000E+00")))  &amp;   TEXT(EXI_beam_diff!T40,"0.000000E+00")</f>
        <v xml:space="preserve">       2.124742E+02</v>
      </c>
      <c r="U40" s="230" t="str">
        <f xml:space="preserve"> REPT(" ",19-LEN(TEXT(EXI_beam_diff!U40,"0.000000E+00")))  &amp;   TEXT(EXI_beam_diff!U40,"0.000000E+00")</f>
        <v xml:space="preserve">       9.787749E+02</v>
      </c>
      <c r="V40" s="230" t="str">
        <f xml:space="preserve"> REPT(" ",8-LEN(TEXT(EXI_beam_diff!V40,"0.0000")))  &amp;  TEXT(EXI_beam_diff!V40,"0.0000")</f>
        <v xml:space="preserve">  1.5161</v>
      </c>
    </row>
    <row r="41" spans="1:33">
      <c r="A41" s="230" t="str">
        <f>REPT(" ",5-LEN(TEXT(EXI_beam_diff!A41,"###"))) &amp; TEXT(EXI_beam_diff!A41,"###")</f>
        <v xml:space="preserve">     </v>
      </c>
      <c r="B41" s="230" t="str">
        <f xml:space="preserve"> REPT(" ",8-LEN(TEXT(EXI_beam_diff!B41,"0.0000")))  &amp;  TEXT(EXI_beam_diff!B41,"0.0000")</f>
        <v xml:space="preserve">  1.5491</v>
      </c>
      <c r="C41" s="230" t="str">
        <f xml:space="preserve"> REPT(" ",8-LEN(TEXT(EXI_beam_diff!C41,"0.0000")))  &amp;  TEXT(EXI_beam_diff!C41,"0.0000")</f>
        <v xml:space="preserve">  0.0191</v>
      </c>
      <c r="D41" s="230" t="str">
        <f xml:space="preserve"> REPT(" ",8-LEN(TEXT(EXI_beam_diff!D41,"0.0000")))  &amp;  TEXT(EXI_beam_diff!D41,"0.0000")</f>
        <v xml:space="preserve">  0.0000</v>
      </c>
      <c r="E41" s="230" t="str">
        <f xml:space="preserve"> REPT(" ",19-LEN(TEXT(EXI_beam_diff!E41,"0.000000E+00")))  &amp;   TEXT(EXI_beam_diff!E41,"0.000000E+00")</f>
        <v xml:space="preserve">       7.347691E-01</v>
      </c>
      <c r="F41" s="230" t="str">
        <f xml:space="preserve"> REPT(" ",8-LEN(TEXT(EXI_beam_diff!F41,"0.0000")))  &amp;  TEXT(EXI_beam_diff!F41,"0.0000")</f>
        <v xml:space="preserve">  0.0066</v>
      </c>
      <c r="G41" s="230" t="str">
        <f xml:space="preserve"> REPT(" ",8-LEN(TEXT(EXI_beam_diff!G41,"0.0000")))  &amp;  TEXT(EXI_beam_diff!G41,"0.0000")</f>
        <v xml:space="preserve">  0.0002</v>
      </c>
      <c r="H41" s="230" t="str">
        <f xml:space="preserve"> REPT(" ",19-LEN(TEXT(EXI_beam_diff!H41,"0.000000E+00")))  &amp;   TEXT(EXI_beam_diff!H41,"0.000000E+00")</f>
        <v xml:space="preserve">       5.173451E-06</v>
      </c>
      <c r="I41" s="230" t="str">
        <f xml:space="preserve"> REPT(" ",19-LEN(TEXT(EXI_beam_diff!I41,"0.000000E+00")))  &amp;   TEXT(EXI_beam_diff!I41,"0.000000E+00")</f>
        <v xml:space="preserve">       7.446429E-04</v>
      </c>
      <c r="J41" s="230" t="str">
        <f xml:space="preserve"> REPT(" ",19-LEN(TEXT(EXI_beam_diff!J41,"0.000000E+00")))  &amp;   TEXT(EXI_beam_diff!J41,"0.000000E+00")</f>
        <v xml:space="preserve">       2.851005E-05</v>
      </c>
      <c r="K41" s="230" t="str">
        <f xml:space="preserve"> REPT(" ",19-LEN(TEXT(EXI_beam_diff!K41,"0.000000E+00")))  &amp;   TEXT(EXI_beam_diff!K41,"0.000000E+00")</f>
        <v xml:space="preserve">       8.807903E+06</v>
      </c>
      <c r="L41" s="230" t="str">
        <f xml:space="preserve"> REPT(" ",19-LEN(TEXT(EXI_beam_diff!L41,"0.000000E+00")))  &amp;   TEXT(EXI_beam_diff!L41,"0.000000E+00")</f>
        <v xml:space="preserve">       6.915365E+03</v>
      </c>
      <c r="M41" s="230" t="str">
        <f xml:space="preserve"> REPT(" ",19-LEN(TEXT(EXI_beam_diff!M41,"0.000000E+00")))  &amp;   TEXT(EXI_beam_diff!M41,"0.000000E+00")</f>
        <v xml:space="preserve">       6.268668E+04</v>
      </c>
      <c r="N41" s="230" t="str">
        <f xml:space="preserve"> REPT(" ",19-LEN(TEXT(EXI_beam_diff!N41,"0.000000E+00")))  &amp;   TEXT(EXI_beam_diff!N41,"0.000000E+00")</f>
        <v xml:space="preserve">       4.538993E+01</v>
      </c>
      <c r="O41" s="230" t="str">
        <f xml:space="preserve"> REPT(" ",19-LEN(TEXT(EXI_beam_diff!O41,"0.000000E+00")))  &amp;   TEXT(EXI_beam_diff!O41,"0.000000E+00")</f>
        <v xml:space="preserve">       3.326299E+03</v>
      </c>
      <c r="P41" s="230" t="str">
        <f xml:space="preserve"> REPT(" ",19-LEN(TEXT(EXI_beam_diff!P41,"0.000000E+00")))  &amp;   TEXT(EXI_beam_diff!P41,"0.000000E+00")</f>
        <v xml:space="preserve">       2.000792E+02</v>
      </c>
      <c r="Q41" s="230" t="str">
        <f xml:space="preserve"> REPT(" ",19-LEN(TEXT(EXI_beam_diff!Q41,"0.000000E+00")))  &amp;   TEXT(EXI_beam_diff!Q41,"0.000000E+00")</f>
        <v xml:space="preserve">       3.743668E+01</v>
      </c>
      <c r="R41" s="230" t="str">
        <f xml:space="preserve"> REPT(" ",19-LEN(TEXT(EXI_beam_diff!R41,"0.000000E+00")))  &amp;   TEXT(EXI_beam_diff!R41,"0.000000E+00")</f>
        <v xml:space="preserve">       8.854564E+04</v>
      </c>
      <c r="S41" s="230" t="str">
        <f xml:space="preserve"> REPT(" ",19-LEN(TEXT(EXI_beam_diff!S41,"0.000000E+00")))  &amp;   TEXT(EXI_beam_diff!S41,"0.000000E+00")</f>
        <v xml:space="preserve">       7.841494E+04</v>
      </c>
      <c r="T41" s="230" t="str">
        <f xml:space="preserve"> REPT(" ",19-LEN(TEXT(EXI_beam_diff!T41,"0.000000E+00")))  &amp;   TEXT(EXI_beam_diff!T41,"0.000000E+00")</f>
        <v xml:space="preserve">       1.249313E+02</v>
      </c>
      <c r="U41" s="230" t="str">
        <f xml:space="preserve"> REPT(" ",19-LEN(TEXT(EXI_beam_diff!U41,"0.000000E+00")))  &amp;   TEXT(EXI_beam_diff!U41,"0.000000E+00")</f>
        <v xml:space="preserve">       5.252837E+02</v>
      </c>
      <c r="V41" s="230" t="str">
        <f xml:space="preserve"> REPT(" ",8-LEN(TEXT(EXI_beam_diff!V41,"0.0000")))  &amp;  TEXT(EXI_beam_diff!V41,"0.0000")</f>
        <v xml:space="preserve">  1.5491</v>
      </c>
      <c r="AG41" s="1"/>
    </row>
    <row r="42" spans="1:33">
      <c r="A42" s="230" t="str">
        <f>REPT(" ",5-LEN(TEXT(EXI_beam_diff!A42,"###"))) &amp; TEXT(EXI_beam_diff!A42,"###")</f>
        <v xml:space="preserve">   20</v>
      </c>
      <c r="B42" s="230" t="str">
        <f xml:space="preserve"> REPT(" ",8-LEN(TEXT(EXI_beam_diff!B42,"0.0000")))  &amp;  TEXT(EXI_beam_diff!B42,"0.0000")</f>
        <v xml:space="preserve">  1.5491</v>
      </c>
      <c r="C42" s="230" t="str">
        <f xml:space="preserve"> REPT(" ",8-LEN(TEXT(EXI_beam_diff!C42,"0.0000")))  &amp;  TEXT(EXI_beam_diff!C42,"0.0000")</f>
        <v xml:space="preserve">  0.0191</v>
      </c>
      <c r="D42" s="230" t="str">
        <f xml:space="preserve"> REPT(" ",8-LEN(TEXT(EXI_beam_diff!D42,"0.0000")))  &amp;  TEXT(EXI_beam_diff!D42,"0.0000")</f>
        <v xml:space="preserve">  0.0000</v>
      </c>
      <c r="E42" s="230" t="str">
        <f xml:space="preserve"> REPT(" ",19-LEN(TEXT(EXI_beam_diff!E42,"0.000000E+00")))  &amp;   TEXT(EXI_beam_diff!E42,"0.000000E+00")</f>
        <v xml:space="preserve">       7.347691E-01</v>
      </c>
      <c r="F42" s="230" t="str">
        <f xml:space="preserve"> REPT(" ",8-LEN(TEXT(EXI_beam_diff!F42,"0.0000")))  &amp;  TEXT(EXI_beam_diff!F42,"0.0000")</f>
        <v xml:space="preserve">  0.0066</v>
      </c>
      <c r="G42" s="230" t="str">
        <f xml:space="preserve"> REPT(" ",8-LEN(TEXT(EXI_beam_diff!G42,"0.0000")))  &amp;  TEXT(EXI_beam_diff!G42,"0.0000")</f>
        <v xml:space="preserve">  0.0002</v>
      </c>
      <c r="H42" s="230" t="str">
        <f xml:space="preserve"> REPT(" ",19-LEN(TEXT(EXI_beam_diff!H42,"0.000000E+00")))  &amp;   TEXT(EXI_beam_diff!H42,"0.000000E+00")</f>
        <v xml:space="preserve">       5.173451E-06</v>
      </c>
      <c r="I42" s="230" t="str">
        <f xml:space="preserve"> REPT(" ",19-LEN(TEXT(EXI_beam_diff!I42,"0.000000E+00")))  &amp;   TEXT(EXI_beam_diff!I42,"0.000000E+00")</f>
        <v xml:space="preserve">       7.446429E-04</v>
      </c>
      <c r="J42" s="230" t="str">
        <f xml:space="preserve"> REPT(" ",19-LEN(TEXT(EXI_beam_diff!J42,"0.000000E+00")))  &amp;   TEXT(EXI_beam_diff!J42,"0.000000E+00")</f>
        <v xml:space="preserve">       2.851005E-05</v>
      </c>
      <c r="K42" s="230" t="str">
        <f xml:space="preserve"> REPT(" ",19-LEN(TEXT(EXI_beam_diff!K42,"0.000000E+00")))  &amp;   TEXT(EXI_beam_diff!K42,"0.000000E+00")</f>
        <v xml:space="preserve">       8.807903E+06</v>
      </c>
      <c r="L42" s="230" t="str">
        <f xml:space="preserve"> REPT(" ",19-LEN(TEXT(EXI_beam_diff!L42,"0.000000E+00")))  &amp;   TEXT(EXI_beam_diff!L42,"0.000000E+00")</f>
        <v xml:space="preserve">       6.915365E+03</v>
      </c>
      <c r="M42" s="230" t="str">
        <f xml:space="preserve"> REPT(" ",19-LEN(TEXT(EXI_beam_diff!M42,"0.000000E+00")))  &amp;   TEXT(EXI_beam_diff!M42,"0.000000E+00")</f>
        <v xml:space="preserve">       6.268668E+04</v>
      </c>
      <c r="N42" s="230" t="str">
        <f xml:space="preserve"> REPT(" ",19-LEN(TEXT(EXI_beam_diff!N42,"0.000000E+00")))  &amp;   TEXT(EXI_beam_diff!N42,"0.000000E+00")</f>
        <v xml:space="preserve">       4.538993E+01</v>
      </c>
      <c r="O42" s="230" t="str">
        <f xml:space="preserve"> REPT(" ",19-LEN(TEXT(EXI_beam_diff!O42,"0.000000E+00")))  &amp;   TEXT(EXI_beam_diff!O42,"0.000000E+00")</f>
        <v xml:space="preserve">       3.326299E+03</v>
      </c>
      <c r="P42" s="230" t="str">
        <f xml:space="preserve"> REPT(" ",19-LEN(TEXT(EXI_beam_diff!P42,"0.000000E+00")))  &amp;   TEXT(EXI_beam_diff!P42,"0.000000E+00")</f>
        <v xml:space="preserve">       2.000792E+02</v>
      </c>
      <c r="Q42" s="230" t="str">
        <f xml:space="preserve"> REPT(" ",19-LEN(TEXT(EXI_beam_diff!Q42,"0.000000E+00")))  &amp;   TEXT(EXI_beam_diff!Q42,"0.000000E+00")</f>
        <v xml:space="preserve">       3.743668E+01</v>
      </c>
      <c r="R42" s="230" t="str">
        <f xml:space="preserve"> REPT(" ",19-LEN(TEXT(EXI_beam_diff!R42,"0.000000E+00")))  &amp;   TEXT(EXI_beam_diff!R42,"0.000000E+00")</f>
        <v xml:space="preserve">       8.854564E+04</v>
      </c>
      <c r="S42" s="230" t="str">
        <f xml:space="preserve"> REPT(" ",19-LEN(TEXT(EXI_beam_diff!S42,"0.000000E+00")))  &amp;   TEXT(EXI_beam_diff!S42,"0.000000E+00")</f>
        <v xml:space="preserve">       7.841494E+04</v>
      </c>
      <c r="T42" s="230" t="str">
        <f xml:space="preserve"> REPT(" ",19-LEN(TEXT(EXI_beam_diff!T42,"0.000000E+00")))  &amp;   TEXT(EXI_beam_diff!T42,"0.000000E+00")</f>
        <v xml:space="preserve">       1.249313E+02</v>
      </c>
      <c r="U42" s="230" t="str">
        <f xml:space="preserve"> REPT(" ",19-LEN(TEXT(EXI_beam_diff!U42,"0.000000E+00")))  &amp;   TEXT(EXI_beam_diff!U42,"0.000000E+00")</f>
        <v xml:space="preserve">       5.252837E+02</v>
      </c>
      <c r="V42" s="230" t="str">
        <f xml:space="preserve"> REPT(" ",8-LEN(TEXT(EXI_beam_diff!V42,"0.0000")))  &amp;  TEXT(EXI_beam_diff!V42,"0.0000")</f>
        <v xml:space="preserve">  1.5491</v>
      </c>
    </row>
    <row r="43" spans="1:33">
      <c r="A43" s="230" t="str">
        <f>REPT(" ",5-LEN(TEXT(EXI_beam_diff!A43,"###"))) &amp; TEXT(EXI_beam_diff!A43,"###")</f>
        <v xml:space="preserve">     </v>
      </c>
      <c r="B43" s="230" t="str">
        <f xml:space="preserve"> REPT(" ",8-LEN(TEXT(EXI_beam_diff!B43,"0.0000")))  &amp;  TEXT(EXI_beam_diff!B43,"0.0000")</f>
        <v xml:space="preserve">  1.5824</v>
      </c>
      <c r="C43" s="230" t="str">
        <f xml:space="preserve"> REPT(" ",8-LEN(TEXT(EXI_beam_diff!C43,"0.0000")))  &amp;  TEXT(EXI_beam_diff!C43,"0.0000")</f>
        <v xml:space="preserve">  0.0382</v>
      </c>
      <c r="D43" s="230" t="str">
        <f xml:space="preserve"> REPT(" ",8-LEN(TEXT(EXI_beam_diff!D43,"0.0000")))  &amp;  TEXT(EXI_beam_diff!D43,"0.0000")</f>
        <v xml:space="preserve">  0.0000</v>
      </c>
      <c r="E43" s="230" t="str">
        <f xml:space="preserve"> REPT(" ",19-LEN(TEXT(EXI_beam_diff!E43,"0.000000E+00")))  &amp;   TEXT(EXI_beam_diff!E43,"0.000000E+00")</f>
        <v xml:space="preserve">       4.067807E-01</v>
      </c>
      <c r="F43" s="230" t="str">
        <f xml:space="preserve"> REPT(" ",8-LEN(TEXT(EXI_beam_diff!F43,"0.0000")))  &amp;  TEXT(EXI_beam_diff!F43,"0.0000")</f>
        <v xml:space="preserve">  0.0092</v>
      </c>
      <c r="G43" s="230" t="str">
        <f xml:space="preserve"> REPT(" ",8-LEN(TEXT(EXI_beam_diff!G43,"0.0000")))  &amp;  TEXT(EXI_beam_diff!G43,"0.0000")</f>
        <v xml:space="preserve">  0.0000</v>
      </c>
      <c r="H43" s="230" t="str">
        <f xml:space="preserve"> REPT(" ",19-LEN(TEXT(EXI_beam_diff!H43,"0.000000E+00")))  &amp;   TEXT(EXI_beam_diff!H43,"0.000000E+00")</f>
        <v xml:space="preserve">       2.396447E-06</v>
      </c>
      <c r="I43" s="230" t="str">
        <f xml:space="preserve"> REPT(" ",19-LEN(TEXT(EXI_beam_diff!I43,"0.000000E+00")))  &amp;   TEXT(EXI_beam_diff!I43,"0.000000E+00")</f>
        <v xml:space="preserve">       2.834516E-04</v>
      </c>
      <c r="J43" s="230" t="str">
        <f xml:space="preserve"> REPT(" ",19-LEN(TEXT(EXI_beam_diff!J43,"0.000000E+00")))  &amp;   TEXT(EXI_beam_diff!J43,"0.000000E+00")</f>
        <v xml:space="preserve">       1.726219E-05</v>
      </c>
      <c r="K43" s="230" t="str">
        <f xml:space="preserve"> REPT(" ",19-LEN(TEXT(EXI_beam_diff!K43,"0.000000E+00")))  &amp;   TEXT(EXI_beam_diff!K43,"0.000000E+00")</f>
        <v xml:space="preserve">       5.819774E+06</v>
      </c>
      <c r="L43" s="230" t="str">
        <f xml:space="preserve"> REPT(" ",19-LEN(TEXT(EXI_beam_diff!L43,"0.000000E+00")))  &amp;   TEXT(EXI_beam_diff!L43,"0.000000E+00")</f>
        <v xml:space="preserve">       3.517877E+03</v>
      </c>
      <c r="M43" s="230" t="str">
        <f xml:space="preserve"> REPT(" ",19-LEN(TEXT(EXI_beam_diff!M43,"0.000000E+00")))  &amp;   TEXT(EXI_beam_diff!M43,"0.000000E+00")</f>
        <v xml:space="preserve">       4.394043E+04</v>
      </c>
      <c r="N43" s="230" t="str">
        <f xml:space="preserve"> REPT(" ",19-LEN(TEXT(EXI_beam_diff!N43,"0.000000E+00")))  &amp;   TEXT(EXI_beam_diff!N43,"0.000000E+00")</f>
        <v xml:space="preserve">       1.651323E+01</v>
      </c>
      <c r="O43" s="230" t="str">
        <f xml:space="preserve"> REPT(" ",19-LEN(TEXT(EXI_beam_diff!O43,"0.000000E+00")))  &amp;   TEXT(EXI_beam_diff!O43,"0.000000E+00")</f>
        <v xml:space="preserve">       1.630928E+03</v>
      </c>
      <c r="P43" s="230" t="str">
        <f xml:space="preserve"> REPT(" ",19-LEN(TEXT(EXI_beam_diff!P43,"0.000000E+00")))  &amp;   TEXT(EXI_beam_diff!P43,"0.000000E+00")</f>
        <v xml:space="preserve">       1.102880E+02</v>
      </c>
      <c r="Q43" s="230" t="str">
        <f xml:space="preserve"> REPT(" ",19-LEN(TEXT(EXI_beam_diff!Q43,"0.000000E+00")))  &amp;   TEXT(EXI_beam_diff!Q43,"0.000000E+00")</f>
        <v xml:space="preserve">       1.253216E+01</v>
      </c>
      <c r="R43" s="230" t="str">
        <f xml:space="preserve"> REPT(" ",19-LEN(TEXT(EXI_beam_diff!R43,"0.000000E+00")))  &amp;   TEXT(EXI_beam_diff!R43,"0.000000E+00")</f>
        <v xml:space="preserve">       4.135536E+04</v>
      </c>
      <c r="S43" s="230" t="str">
        <f xml:space="preserve"> REPT(" ",19-LEN(TEXT(EXI_beam_diff!S43,"0.000000E+00")))  &amp;   TEXT(EXI_beam_diff!S43,"0.000000E+00")</f>
        <v xml:space="preserve">       3.663214E+04</v>
      </c>
      <c r="T43" s="230" t="str">
        <f xml:space="preserve"> REPT(" ",19-LEN(TEXT(EXI_beam_diff!T43,"0.000000E+00")))  &amp;   TEXT(EXI_beam_diff!T43,"0.000000E+00")</f>
        <v xml:space="preserve">       3.659266E+01</v>
      </c>
      <c r="U43" s="230" t="str">
        <f xml:space="preserve"> REPT(" ",19-LEN(TEXT(EXI_beam_diff!U43,"0.000000E+00")))  &amp;   TEXT(EXI_beam_diff!U43,"0.000000E+00")</f>
        <v xml:space="preserve">       6.766985E+01</v>
      </c>
      <c r="V43" s="230" t="str">
        <f xml:space="preserve"> REPT(" ",8-LEN(TEXT(EXI_beam_diff!V43,"0.0000")))  &amp;  TEXT(EXI_beam_diff!V43,"0.0000")</f>
        <v xml:space="preserve">  1.5824</v>
      </c>
      <c r="AG43" s="1"/>
    </row>
    <row r="44" spans="1:33">
      <c r="A44" s="230" t="str">
        <f>REPT(" ",5-LEN(TEXT(EXI_beam_diff!A44,"###"))) &amp; TEXT(EXI_beam_diff!A44,"###")</f>
        <v xml:space="preserve">   21</v>
      </c>
      <c r="B44" s="230" t="str">
        <f xml:space="preserve"> REPT(" ",8-LEN(TEXT(EXI_beam_diff!B44,"0.0000")))  &amp;  TEXT(EXI_beam_diff!B44,"0.0000")</f>
        <v xml:space="preserve">  1.5824</v>
      </c>
      <c r="C44" s="230" t="str">
        <f xml:space="preserve"> REPT(" ",8-LEN(TEXT(EXI_beam_diff!C44,"0.0000")))  &amp;  TEXT(EXI_beam_diff!C44,"0.0000")</f>
        <v xml:space="preserve">  0.0382</v>
      </c>
      <c r="D44" s="230" t="str">
        <f xml:space="preserve"> REPT(" ",8-LEN(TEXT(EXI_beam_diff!D44,"0.0000")))  &amp;  TEXT(EXI_beam_diff!D44,"0.0000")</f>
        <v xml:space="preserve">  0.0000</v>
      </c>
      <c r="E44" s="230" t="str">
        <f xml:space="preserve"> REPT(" ",19-LEN(TEXT(EXI_beam_diff!E44,"0.000000E+00")))  &amp;   TEXT(EXI_beam_diff!E44,"0.000000E+00")</f>
        <v xml:space="preserve">       4.067807E-01</v>
      </c>
      <c r="F44" s="230" t="str">
        <f xml:space="preserve"> REPT(" ",8-LEN(TEXT(EXI_beam_diff!F44,"0.0000")))  &amp;  TEXT(EXI_beam_diff!F44,"0.0000")</f>
        <v xml:space="preserve">  0.0092</v>
      </c>
      <c r="G44" s="230" t="str">
        <f xml:space="preserve"> REPT(" ",8-LEN(TEXT(EXI_beam_diff!G44,"0.0000")))  &amp;  TEXT(EXI_beam_diff!G44,"0.0000")</f>
        <v xml:space="preserve">  0.0000</v>
      </c>
      <c r="H44" s="230" t="str">
        <f xml:space="preserve"> REPT(" ",19-LEN(TEXT(EXI_beam_diff!H44,"0.000000E+00")))  &amp;   TEXT(EXI_beam_diff!H44,"0.000000E+00")</f>
        <v xml:space="preserve">       2.396447E-06</v>
      </c>
      <c r="I44" s="230" t="str">
        <f xml:space="preserve"> REPT(" ",19-LEN(TEXT(EXI_beam_diff!I44,"0.000000E+00")))  &amp;   TEXT(EXI_beam_diff!I44,"0.000000E+00")</f>
        <v xml:space="preserve">       2.834516E-04</v>
      </c>
      <c r="J44" s="230" t="str">
        <f xml:space="preserve"> REPT(" ",19-LEN(TEXT(EXI_beam_diff!J44,"0.000000E+00")))  &amp;   TEXT(EXI_beam_diff!J44,"0.000000E+00")</f>
        <v xml:space="preserve">       1.726219E-05</v>
      </c>
      <c r="K44" s="230" t="str">
        <f xml:space="preserve"> REPT(" ",19-LEN(TEXT(EXI_beam_diff!K44,"0.000000E+00")))  &amp;   TEXT(EXI_beam_diff!K44,"0.000000E+00")</f>
        <v xml:space="preserve">       5.819774E+06</v>
      </c>
      <c r="L44" s="230" t="str">
        <f xml:space="preserve"> REPT(" ",19-LEN(TEXT(EXI_beam_diff!L44,"0.000000E+00")))  &amp;   TEXT(EXI_beam_diff!L44,"0.000000E+00")</f>
        <v xml:space="preserve">       3.517877E+03</v>
      </c>
      <c r="M44" s="230" t="str">
        <f xml:space="preserve"> REPT(" ",19-LEN(TEXT(EXI_beam_diff!M44,"0.000000E+00")))  &amp;   TEXT(EXI_beam_diff!M44,"0.000000E+00")</f>
        <v xml:space="preserve">       4.394043E+04</v>
      </c>
      <c r="N44" s="230" t="str">
        <f xml:space="preserve"> REPT(" ",19-LEN(TEXT(EXI_beam_diff!N44,"0.000000E+00")))  &amp;   TEXT(EXI_beam_diff!N44,"0.000000E+00")</f>
        <v xml:space="preserve">       1.651323E+01</v>
      </c>
      <c r="O44" s="230" t="str">
        <f xml:space="preserve"> REPT(" ",19-LEN(TEXT(EXI_beam_diff!O44,"0.000000E+00")))  &amp;   TEXT(EXI_beam_diff!O44,"0.000000E+00")</f>
        <v xml:space="preserve">       1.630928E+03</v>
      </c>
      <c r="P44" s="230" t="str">
        <f xml:space="preserve"> REPT(" ",19-LEN(TEXT(EXI_beam_diff!P44,"0.000000E+00")))  &amp;   TEXT(EXI_beam_diff!P44,"0.000000E+00")</f>
        <v xml:space="preserve">       1.102880E+02</v>
      </c>
      <c r="Q44" s="230" t="str">
        <f xml:space="preserve"> REPT(" ",19-LEN(TEXT(EXI_beam_diff!Q44,"0.000000E+00")))  &amp;   TEXT(EXI_beam_diff!Q44,"0.000000E+00")</f>
        <v xml:space="preserve">       1.253216E+01</v>
      </c>
      <c r="R44" s="230" t="str">
        <f xml:space="preserve"> REPT(" ",19-LEN(TEXT(EXI_beam_diff!R44,"0.000000E+00")))  &amp;   TEXT(EXI_beam_diff!R44,"0.000000E+00")</f>
        <v xml:space="preserve">       4.135536E+04</v>
      </c>
      <c r="S44" s="230" t="str">
        <f xml:space="preserve"> REPT(" ",19-LEN(TEXT(EXI_beam_diff!S44,"0.000000E+00")))  &amp;   TEXT(EXI_beam_diff!S44,"0.000000E+00")</f>
        <v xml:space="preserve">       3.663214E+04</v>
      </c>
      <c r="T44" s="230" t="str">
        <f xml:space="preserve"> REPT(" ",19-LEN(TEXT(EXI_beam_diff!T44,"0.000000E+00")))  &amp;   TEXT(EXI_beam_diff!T44,"0.000000E+00")</f>
        <v xml:space="preserve">       3.659266E+01</v>
      </c>
      <c r="U44" s="230" t="str">
        <f xml:space="preserve"> REPT(" ",19-LEN(TEXT(EXI_beam_diff!U44,"0.000000E+00")))  &amp;   TEXT(EXI_beam_diff!U44,"0.000000E+00")</f>
        <v xml:space="preserve">       6.766985E+01</v>
      </c>
      <c r="V44" s="230" t="str">
        <f xml:space="preserve"> REPT(" ",8-LEN(TEXT(EXI_beam_diff!V44,"0.0000")))  &amp;  TEXT(EXI_beam_diff!V44,"0.0000")</f>
        <v xml:space="preserve">  1.5824</v>
      </c>
    </row>
    <row r="45" spans="1:33">
      <c r="A45" s="230" t="str">
        <f>REPT(" ",5-LEN(TEXT(EXI_beam_diff!A45,"###"))) &amp; TEXT(EXI_beam_diff!A45,"###")</f>
        <v xml:space="preserve">     </v>
      </c>
      <c r="B45" s="230" t="str">
        <f xml:space="preserve"> REPT(" ",8-LEN(TEXT(EXI_beam_diff!B45,"0.0000")))  &amp;  TEXT(EXI_beam_diff!B45,"0.0000")</f>
        <v xml:space="preserve">  1.6002</v>
      </c>
      <c r="C45" s="230" t="str">
        <f xml:space="preserve"> REPT(" ",8-LEN(TEXT(EXI_beam_diff!C45,"0.0000")))  &amp;  TEXT(EXI_beam_diff!C45,"0.0000")</f>
        <v xml:space="preserve">  0.0485</v>
      </c>
      <c r="D45" s="230" t="str">
        <f xml:space="preserve"> REPT(" ",8-LEN(TEXT(EXI_beam_diff!D45,"0.0000")))  &amp;  TEXT(EXI_beam_diff!D45,"0.0000")</f>
        <v xml:space="preserve">  0.0000</v>
      </c>
      <c r="E45" s="230" t="str">
        <f xml:space="preserve"> REPT(" ",19-LEN(TEXT(EXI_beam_diff!E45,"0.000000E+00")))  &amp;   TEXT(EXI_beam_diff!E45,"0.000000E+00")</f>
        <v xml:space="preserve">       2.950956E-01</v>
      </c>
      <c r="F45" s="230" t="str">
        <f xml:space="preserve"> REPT(" ",8-LEN(TEXT(EXI_beam_diff!F45,"0.0000")))  &amp;  TEXT(EXI_beam_diff!F45,"0.0000")</f>
        <v xml:space="preserve">  0.0120</v>
      </c>
      <c r="G45" s="230" t="str">
        <f xml:space="preserve"> REPT(" ",8-LEN(TEXT(EXI_beam_diff!G45,"0.0000")))  &amp;  TEXT(EXI_beam_diff!G45,"0.0000")</f>
        <v xml:space="preserve"> -0.0003</v>
      </c>
      <c r="H45" s="230" t="str">
        <f xml:space="preserve"> REPT(" ",19-LEN(TEXT(EXI_beam_diff!H45,"0.000000E+00")))  &amp;   TEXT(EXI_beam_diff!H45,"0.000000E+00")</f>
        <v xml:space="preserve">       1.403478E-06</v>
      </c>
      <c r="I45" s="230" t="str">
        <f xml:space="preserve"> REPT(" ",19-LEN(TEXT(EXI_beam_diff!I45,"0.000000E+00")))  &amp;   TEXT(EXI_beam_diff!I45,"0.000000E+00")</f>
        <v xml:space="preserve">       1.734450E-04</v>
      </c>
      <c r="J45" s="230" t="str">
        <f xml:space="preserve"> REPT(" ",19-LEN(TEXT(EXI_beam_diff!J45,"0.000000E+00")))  &amp;   TEXT(EXI_beam_diff!J45,"0.000000E+00")</f>
        <v xml:space="preserve">       1.002024E-05</v>
      </c>
      <c r="K45" s="230" t="str">
        <f xml:space="preserve"> REPT(" ",19-LEN(TEXT(EXI_beam_diff!K45,"0.000000E+00")))  &amp;   TEXT(EXI_beam_diff!K45,"0.000000E+00")</f>
        <v xml:space="preserve">       4.239155E+06</v>
      </c>
      <c r="L45" s="230" t="str">
        <f xml:space="preserve"> REPT(" ",19-LEN(TEXT(EXI_beam_diff!L45,"0.000000E+00")))  &amp;   TEXT(EXI_beam_diff!L45,"0.000000E+00")</f>
        <v xml:space="preserve">       2.153491E+03</v>
      </c>
      <c r="M45" s="230" t="str">
        <f xml:space="preserve"> REPT(" ",19-LEN(TEXT(EXI_beam_diff!M45,"0.000000E+00")))  &amp;   TEXT(EXI_beam_diff!M45,"0.000000E+00")</f>
        <v xml:space="preserve">       3.725539E+04</v>
      </c>
      <c r="N45" s="230" t="str">
        <f xml:space="preserve"> REPT(" ",19-LEN(TEXT(EXI_beam_diff!N45,"0.000000E+00")))  &amp;   TEXT(EXI_beam_diff!N45,"0.000000E+00")</f>
        <v xml:space="preserve">       8.974308E+00</v>
      </c>
      <c r="O45" s="230" t="str">
        <f xml:space="preserve"> REPT(" ",19-LEN(TEXT(EXI_beam_diff!O45,"0.000000E+00")))  &amp;   TEXT(EXI_beam_diff!O45,"0.000000E+00")</f>
        <v xml:space="preserve">       1.070324E+03</v>
      </c>
      <c r="P45" s="230" t="str">
        <f xml:space="preserve"> REPT(" ",19-LEN(TEXT(EXI_beam_diff!P45,"0.000000E+00")))  &amp;   TEXT(EXI_beam_diff!P45,"0.000000E+00")</f>
        <v xml:space="preserve">       6.801200E+01</v>
      </c>
      <c r="Q45" s="230" t="str">
        <f xml:space="preserve"> REPT(" ",19-LEN(TEXT(EXI_beam_diff!Q45,"0.000000E+00")))  &amp;   TEXT(EXI_beam_diff!Q45,"0.000000E+00")</f>
        <v xml:space="preserve">       7.260631E+00</v>
      </c>
      <c r="R45" s="230" t="str">
        <f xml:space="preserve"> REPT(" ",19-LEN(TEXT(EXI_beam_diff!R45,"0.000000E+00")))  &amp;   TEXT(EXI_beam_diff!R45,"0.000000E+00")</f>
        <v xml:space="preserve">       3.563417E+04</v>
      </c>
      <c r="S45" s="230" t="str">
        <f xml:space="preserve"> REPT(" ",19-LEN(TEXT(EXI_beam_diff!S45,"0.000000E+00")))  &amp;   TEXT(EXI_beam_diff!S45,"0.000000E+00")</f>
        <v xml:space="preserve">       3.156707E+04</v>
      </c>
      <c r="T45" s="230" t="str">
        <f xml:space="preserve"> REPT(" ",19-LEN(TEXT(EXI_beam_diff!T45,"0.000000E+00")))  &amp;   TEXT(EXI_beam_diff!T45,"0.000000E+00")</f>
        <v xml:space="preserve">       2.319940E+01</v>
      </c>
      <c r="U45" s="230" t="str">
        <f xml:space="preserve"> REPT(" ",19-LEN(TEXT(EXI_beam_diff!U45,"0.000000E+00")))  &amp;   TEXT(EXI_beam_diff!U45,"0.000000E+00")</f>
        <v xml:space="preserve">       2.708321E+02</v>
      </c>
      <c r="V45" s="230" t="str">
        <f xml:space="preserve"> REPT(" ",8-LEN(TEXT(EXI_beam_diff!V45,"0.0000")))  &amp;  TEXT(EXI_beam_diff!V45,"0.0000")</f>
        <v xml:space="preserve">  1.6002</v>
      </c>
      <c r="AG45" s="1"/>
    </row>
    <row r="46" spans="1:33">
      <c r="A46" s="230"/>
      <c r="B46" s="230"/>
      <c r="C46" s="230"/>
      <c r="D46" s="230"/>
      <c r="E46" s="230"/>
      <c r="F46" s="230"/>
      <c r="G46" s="230"/>
      <c r="H46" s="230"/>
      <c r="I46" s="230"/>
      <c r="J46" s="230"/>
      <c r="K46" s="230"/>
      <c r="L46" s="230"/>
      <c r="M46" s="230"/>
      <c r="N46" s="230"/>
      <c r="O46" s="230"/>
      <c r="P46" s="230"/>
      <c r="Q46" s="230"/>
      <c r="R46" s="230"/>
      <c r="S46" s="230"/>
      <c r="T46" s="230"/>
      <c r="U46" s="230"/>
      <c r="V46" s="230"/>
    </row>
    <row r="47" spans="1:33">
      <c r="A47" s="230"/>
      <c r="B47" s="230"/>
      <c r="C47" s="230"/>
      <c r="D47" s="230"/>
      <c r="E47" s="230"/>
      <c r="F47" s="230"/>
      <c r="G47" s="230"/>
      <c r="H47" s="230"/>
      <c r="I47" s="230"/>
      <c r="J47" s="230"/>
      <c r="K47" s="230"/>
      <c r="L47" s="230"/>
      <c r="M47" s="230"/>
      <c r="N47" s="230"/>
      <c r="O47" s="230"/>
      <c r="P47" s="230"/>
      <c r="Q47" s="230"/>
      <c r="R47" s="230"/>
      <c r="S47" s="230"/>
      <c r="T47" s="230"/>
      <c r="U47" s="230"/>
      <c r="V47" s="230"/>
      <c r="AG47" s="1"/>
    </row>
    <row r="48" spans="1:33">
      <c r="A48" s="230"/>
      <c r="B48" s="230"/>
      <c r="C48" s="230"/>
      <c r="D48" s="230"/>
      <c r="E48" s="230"/>
      <c r="F48" s="230"/>
      <c r="G48" s="230"/>
      <c r="H48" s="230"/>
      <c r="I48" s="230"/>
      <c r="J48" s="230"/>
      <c r="K48" s="230"/>
      <c r="L48" s="230"/>
      <c r="M48" s="230"/>
      <c r="N48" s="230"/>
      <c r="O48" s="230"/>
      <c r="P48" s="230"/>
      <c r="Q48" s="230"/>
      <c r="R48" s="230"/>
      <c r="S48" s="230"/>
      <c r="T48" s="230"/>
      <c r="U48" s="230"/>
      <c r="V48" s="230"/>
    </row>
    <row r="49" spans="1:33">
      <c r="A49" s="230"/>
      <c r="B49" s="230"/>
      <c r="C49" s="230"/>
      <c r="D49" s="230"/>
      <c r="E49" s="230"/>
      <c r="F49" s="230"/>
      <c r="G49" s="230"/>
      <c r="H49" s="230"/>
      <c r="I49" s="230"/>
      <c r="J49" s="230"/>
      <c r="K49" s="230"/>
      <c r="L49" s="230"/>
      <c r="M49" s="230"/>
      <c r="N49" s="230"/>
      <c r="O49" s="230"/>
      <c r="P49" s="230"/>
      <c r="Q49" s="230"/>
      <c r="R49" s="230"/>
      <c r="S49" s="230"/>
      <c r="T49" s="230"/>
      <c r="U49" s="230"/>
      <c r="V49" s="230"/>
      <c r="AG49" s="1"/>
    </row>
    <row r="50" spans="1:33">
      <c r="A50" s="230"/>
      <c r="B50" s="230"/>
      <c r="C50" s="230"/>
      <c r="D50" s="230"/>
      <c r="E50" s="230"/>
      <c r="F50" s="230"/>
      <c r="G50" s="230"/>
      <c r="H50" s="230"/>
      <c r="I50" s="230"/>
      <c r="J50" s="230"/>
      <c r="K50" s="230"/>
      <c r="L50" s="230"/>
      <c r="M50" s="230"/>
      <c r="N50" s="230"/>
      <c r="O50" s="230"/>
      <c r="P50" s="230"/>
      <c r="Q50" s="230"/>
      <c r="R50" s="230"/>
      <c r="S50" s="230"/>
      <c r="T50" s="230"/>
      <c r="U50" s="230"/>
      <c r="V50" s="230"/>
    </row>
    <row r="51" spans="1:33">
      <c r="A51" s="230"/>
      <c r="B51" s="230"/>
      <c r="C51" s="230"/>
      <c r="D51" s="230"/>
      <c r="E51" s="230"/>
      <c r="F51" s="230"/>
      <c r="G51" s="230"/>
      <c r="H51" s="230"/>
      <c r="I51" s="230"/>
      <c r="J51" s="230"/>
      <c r="K51" s="230"/>
      <c r="L51" s="230"/>
      <c r="M51" s="230"/>
      <c r="N51" s="230"/>
      <c r="O51" s="230"/>
      <c r="P51" s="230"/>
      <c r="Q51" s="230"/>
      <c r="R51" s="230"/>
      <c r="S51" s="230"/>
      <c r="T51" s="230"/>
      <c r="U51" s="230"/>
      <c r="V51" s="230"/>
      <c r="AG51" s="1"/>
    </row>
    <row r="52" spans="1:33">
      <c r="A52" s="230"/>
      <c r="B52" s="230"/>
      <c r="C52" s="230"/>
      <c r="D52" s="230"/>
      <c r="E52" s="230"/>
      <c r="F52" s="230"/>
      <c r="G52" s="230"/>
      <c r="H52" s="230"/>
      <c r="I52" s="230"/>
      <c r="J52" s="230"/>
      <c r="K52" s="230"/>
      <c r="L52" s="230"/>
      <c r="M52" s="230"/>
      <c r="N52" s="230"/>
      <c r="O52" s="230"/>
      <c r="P52" s="230"/>
      <c r="Q52" s="230"/>
      <c r="R52" s="230"/>
      <c r="S52" s="230"/>
      <c r="T52" s="230"/>
      <c r="U52" s="230"/>
      <c r="V52" s="230"/>
    </row>
    <row r="53" spans="1:33">
      <c r="A53" s="230"/>
      <c r="B53" s="230"/>
      <c r="C53" s="230"/>
      <c r="D53" s="230"/>
      <c r="E53" s="230"/>
      <c r="F53" s="230"/>
      <c r="G53" s="230"/>
      <c r="H53" s="230"/>
      <c r="I53" s="230"/>
      <c r="J53" s="230"/>
      <c r="K53" s="230"/>
      <c r="L53" s="230"/>
      <c r="M53" s="230"/>
      <c r="N53" s="230"/>
      <c r="O53" s="230"/>
      <c r="P53" s="230"/>
      <c r="Q53" s="230"/>
      <c r="R53" s="230"/>
      <c r="S53" s="230"/>
      <c r="T53" s="230"/>
      <c r="U53" s="230"/>
      <c r="V53" s="230"/>
      <c r="AG53" s="1"/>
    </row>
    <row r="54" spans="1:33">
      <c r="A54" s="230"/>
      <c r="B54" s="230"/>
      <c r="C54" s="230"/>
      <c r="D54" s="230"/>
      <c r="E54" s="230"/>
      <c r="F54" s="230"/>
      <c r="G54" s="230"/>
      <c r="H54" s="230"/>
      <c r="I54" s="230"/>
      <c r="J54" s="230"/>
      <c r="K54" s="230"/>
      <c r="L54" s="230"/>
      <c r="M54" s="230"/>
      <c r="N54" s="230"/>
      <c r="O54" s="230"/>
      <c r="P54" s="230"/>
      <c r="Q54" s="230"/>
      <c r="R54" s="230"/>
      <c r="S54" s="230"/>
      <c r="T54" s="230"/>
      <c r="U54" s="230"/>
      <c r="V54" s="230"/>
    </row>
    <row r="55" spans="1:33">
      <c r="A55" s="230"/>
      <c r="B55" s="230"/>
      <c r="C55" s="230"/>
      <c r="D55" s="230"/>
      <c r="E55" s="230"/>
      <c r="F55" s="230"/>
      <c r="G55" s="230"/>
      <c r="H55" s="230"/>
      <c r="I55" s="230"/>
      <c r="J55" s="230"/>
      <c r="K55" s="230"/>
      <c r="L55" s="230"/>
      <c r="M55" s="230"/>
      <c r="N55" s="230"/>
      <c r="O55" s="230"/>
      <c r="P55" s="230"/>
      <c r="Q55" s="230"/>
      <c r="R55" s="230"/>
      <c r="S55" s="230"/>
      <c r="T55" s="230"/>
      <c r="U55" s="230"/>
      <c r="V55" s="230"/>
      <c r="AG55" s="1"/>
    </row>
    <row r="56" spans="1:33">
      <c r="A56" s="230"/>
      <c r="B56" s="230"/>
      <c r="C56" s="230"/>
      <c r="D56" s="230"/>
      <c r="E56" s="230"/>
      <c r="F56" s="230"/>
      <c r="G56" s="230"/>
      <c r="H56" s="230"/>
      <c r="I56" s="230"/>
      <c r="J56" s="230"/>
      <c r="K56" s="230"/>
      <c r="L56" s="230"/>
      <c r="M56" s="230"/>
      <c r="N56" s="230"/>
      <c r="O56" s="230"/>
      <c r="P56" s="230"/>
      <c r="Q56" s="230"/>
      <c r="R56" s="230"/>
      <c r="S56" s="230"/>
      <c r="T56" s="230"/>
      <c r="U56" s="230"/>
      <c r="V56" s="230"/>
    </row>
    <row r="57" spans="1:33">
      <c r="A57" s="230"/>
      <c r="B57" s="230"/>
      <c r="C57" s="230"/>
      <c r="D57" s="230"/>
      <c r="E57" s="230"/>
      <c r="F57" s="230"/>
      <c r="G57" s="230"/>
      <c r="H57" s="230"/>
      <c r="I57" s="230"/>
      <c r="J57" s="230"/>
      <c r="K57" s="230"/>
      <c r="L57" s="230"/>
      <c r="M57" s="230"/>
      <c r="N57" s="230"/>
      <c r="O57" s="230"/>
      <c r="P57" s="230"/>
      <c r="Q57" s="230"/>
      <c r="R57" s="230"/>
      <c r="S57" s="230"/>
      <c r="T57" s="230"/>
      <c r="U57" s="230"/>
      <c r="V57" s="230"/>
      <c r="AG57" s="1"/>
    </row>
    <row r="58" spans="1:33">
      <c r="A58" s="230"/>
      <c r="B58" s="230"/>
      <c r="C58" s="230"/>
      <c r="D58" s="230"/>
      <c r="E58" s="230"/>
      <c r="F58" s="230"/>
      <c r="G58" s="230"/>
      <c r="H58" s="230"/>
      <c r="I58" s="230"/>
      <c r="J58" s="230"/>
      <c r="K58" s="230"/>
      <c r="L58" s="230"/>
      <c r="M58" s="230"/>
      <c r="N58" s="230"/>
      <c r="O58" s="230"/>
      <c r="P58" s="230"/>
      <c r="Q58" s="230"/>
      <c r="R58" s="230"/>
      <c r="S58" s="230"/>
      <c r="T58" s="230"/>
      <c r="U58" s="230"/>
      <c r="V58" s="230"/>
    </row>
    <row r="59" spans="1:33">
      <c r="A59" s="230"/>
      <c r="B59" s="230"/>
      <c r="C59" s="230"/>
      <c r="D59" s="230"/>
      <c r="E59" s="230"/>
      <c r="F59" s="230"/>
      <c r="G59" s="230"/>
      <c r="H59" s="230"/>
      <c r="I59" s="230"/>
      <c r="J59" s="230"/>
      <c r="K59" s="230"/>
      <c r="L59" s="230"/>
      <c r="M59" s="230"/>
      <c r="N59" s="230"/>
      <c r="O59" s="230"/>
      <c r="P59" s="230"/>
      <c r="Q59" s="230"/>
      <c r="R59" s="230"/>
      <c r="S59" s="230"/>
      <c r="T59" s="230"/>
      <c r="U59" s="230"/>
      <c r="V59" s="230"/>
      <c r="AG59" s="1"/>
    </row>
    <row r="60" spans="1:33">
      <c r="A60" s="230"/>
      <c r="B60" s="230"/>
      <c r="C60" s="230"/>
      <c r="D60" s="230"/>
      <c r="E60" s="230"/>
      <c r="F60" s="230"/>
      <c r="G60" s="230"/>
      <c r="H60" s="230"/>
      <c r="I60" s="230"/>
      <c r="J60" s="230"/>
      <c r="K60" s="230"/>
      <c r="L60" s="230"/>
      <c r="M60" s="230"/>
      <c r="N60" s="230"/>
      <c r="O60" s="230"/>
      <c r="P60" s="230"/>
      <c r="Q60" s="230"/>
      <c r="R60" s="230"/>
      <c r="S60" s="230"/>
      <c r="T60" s="230"/>
      <c r="U60" s="230"/>
      <c r="V60" s="230"/>
    </row>
    <row r="61" spans="1:33">
      <c r="A61" s="230"/>
      <c r="B61" s="230"/>
      <c r="C61" s="230"/>
      <c r="D61" s="230"/>
      <c r="E61" s="230"/>
      <c r="F61" s="230"/>
      <c r="G61" s="230"/>
      <c r="H61" s="230"/>
      <c r="I61" s="230"/>
      <c r="J61" s="230"/>
      <c r="K61" s="230"/>
      <c r="L61" s="230"/>
      <c r="M61" s="230"/>
      <c r="N61" s="230"/>
      <c r="O61" s="230"/>
      <c r="P61" s="230"/>
      <c r="Q61" s="230"/>
      <c r="R61" s="230"/>
      <c r="S61" s="230"/>
      <c r="T61" s="230"/>
      <c r="U61" s="230"/>
      <c r="V61" s="230"/>
    </row>
    <row r="64" spans="1:33">
      <c r="AG64" s="1"/>
    </row>
    <row r="66" spans="33:33">
      <c r="AG66" s="1"/>
    </row>
    <row r="68" spans="33:33">
      <c r="AG68" s="1"/>
    </row>
    <row r="70" spans="33:33">
      <c r="AG70" s="1"/>
    </row>
    <row r="72" spans="33:33">
      <c r="AG72" s="1"/>
    </row>
    <row r="74" spans="33:33">
      <c r="AG74" s="1"/>
    </row>
    <row r="76" spans="33:33">
      <c r="AG76" s="1"/>
    </row>
    <row r="78" spans="33:33">
      <c r="AG78" s="1"/>
    </row>
    <row r="80" spans="33:33">
      <c r="AG80" s="1"/>
    </row>
    <row r="82" spans="33:33">
      <c r="AG82" s="1"/>
    </row>
    <row r="84" spans="33:33">
      <c r="AG84" s="1"/>
    </row>
    <row r="86" spans="33:33">
      <c r="AG86" s="1"/>
    </row>
    <row r="88" spans="33:33">
      <c r="AG88" s="1"/>
    </row>
    <row r="90" spans="33:33">
      <c r="AG90" s="1"/>
    </row>
    <row r="92" spans="33:33">
      <c r="AG92" s="1"/>
    </row>
    <row r="94" spans="33:33">
      <c r="AG94" s="1"/>
    </row>
    <row r="96" spans="33:33">
      <c r="AG96" s="1"/>
    </row>
    <row r="98" spans="33:33">
      <c r="AG98" s="1"/>
    </row>
    <row r="100" spans="33:33">
      <c r="AG100" s="1"/>
    </row>
    <row r="102" spans="33:33">
      <c r="AG102" s="1"/>
    </row>
    <row r="104" spans="33:33">
      <c r="AG104" s="1"/>
    </row>
    <row r="106" spans="33:33">
      <c r="AG106" s="1"/>
    </row>
    <row r="108" spans="33:33">
      <c r="AG108" s="1"/>
    </row>
    <row r="110" spans="33:33">
      <c r="AG110" s="1"/>
    </row>
    <row r="112" spans="33:33">
      <c r="AG112"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F17DB-8DED-4BEB-9409-925E3F033882}">
  <dimension ref="A1:AJ137"/>
  <sheetViews>
    <sheetView topLeftCell="B1" zoomScale="70" zoomScaleNormal="70" workbookViewId="0">
      <selection activeCell="B52" sqref="B52:B73"/>
    </sheetView>
  </sheetViews>
  <sheetFormatPr defaultRowHeight="14.4"/>
  <cols>
    <col min="1" max="1" width="11.6640625" bestFit="1" customWidth="1"/>
    <col min="3" max="3" width="9.6640625" bestFit="1" customWidth="1"/>
    <col min="4" max="4" width="10" bestFit="1" customWidth="1"/>
    <col min="5" max="5" width="15.21875" bestFit="1" customWidth="1"/>
    <col min="6" max="6" width="3.109375" bestFit="1" customWidth="1"/>
    <col min="7" max="7" width="10.44140625" bestFit="1" customWidth="1"/>
    <col min="8" max="8" width="12" bestFit="1" customWidth="1"/>
    <col min="9" max="9" width="11.21875" bestFit="1" customWidth="1"/>
    <col min="10" max="11" width="10.21875" bestFit="1" customWidth="1"/>
    <col min="12" max="12" width="11.21875" bestFit="1" customWidth="1"/>
    <col min="13" max="13" width="10.44140625" bestFit="1" customWidth="1"/>
    <col min="14" max="15" width="11.44140625" bestFit="1" customWidth="1"/>
    <col min="16" max="17" width="10.44140625" bestFit="1" customWidth="1"/>
    <col min="18" max="18" width="11.44140625" bestFit="1" customWidth="1"/>
    <col min="19" max="21" width="10.44140625" bestFit="1" customWidth="1"/>
    <col min="22" max="22" width="11" bestFit="1" customWidth="1"/>
    <col min="23" max="24" width="10.44140625" bestFit="1" customWidth="1"/>
    <col min="25" max="25" width="12.88671875" bestFit="1" customWidth="1"/>
    <col min="26" max="26" width="10.44140625" bestFit="1" customWidth="1"/>
    <col min="27" max="27" width="12.44140625" bestFit="1" customWidth="1"/>
    <col min="28" max="28" width="10.44140625" bestFit="1" customWidth="1"/>
    <col min="29" max="29" width="11.44140625" bestFit="1" customWidth="1"/>
    <col min="30" max="30" width="14.88671875" bestFit="1" customWidth="1"/>
    <col min="31" max="31" width="14" bestFit="1" customWidth="1"/>
    <col min="32" max="32" width="10.44140625" bestFit="1" customWidth="1"/>
    <col min="33" max="33" width="16.44140625" bestFit="1" customWidth="1"/>
    <col min="34" max="34" width="12.88671875" bestFit="1" customWidth="1"/>
    <col min="35" max="35" width="10.44140625" bestFit="1" customWidth="1"/>
  </cols>
  <sheetData>
    <row r="1" spans="1:35" ht="21">
      <c r="A1" s="103" t="s">
        <v>283</v>
      </c>
      <c r="B1" s="103" t="s">
        <v>284</v>
      </c>
    </row>
    <row r="3" spans="1:35">
      <c r="B3" s="25"/>
      <c r="C3" t="s">
        <v>157</v>
      </c>
      <c r="D3" t="s">
        <v>158</v>
      </c>
      <c r="E3" t="s">
        <v>159</v>
      </c>
      <c r="F3" t="s">
        <v>160</v>
      </c>
      <c r="G3" t="s">
        <v>267</v>
      </c>
      <c r="H3" t="s">
        <v>268</v>
      </c>
      <c r="I3" t="s">
        <v>269</v>
      </c>
      <c r="J3" t="s">
        <v>270</v>
      </c>
      <c r="K3" t="s">
        <v>157</v>
      </c>
    </row>
    <row r="4" spans="1:35">
      <c r="B4" s="25"/>
      <c r="C4">
        <v>1</v>
      </c>
      <c r="D4" t="s">
        <v>271</v>
      </c>
    </row>
    <row r="5" spans="1:35">
      <c r="B5" s="25"/>
      <c r="C5" t="s">
        <v>24</v>
      </c>
      <c r="D5" t="s">
        <v>272</v>
      </c>
      <c r="E5" t="s">
        <v>273</v>
      </c>
      <c r="F5" t="s">
        <v>274</v>
      </c>
      <c r="G5" t="s">
        <v>67</v>
      </c>
      <c r="H5" t="s">
        <v>68</v>
      </c>
      <c r="I5" t="s">
        <v>69</v>
      </c>
      <c r="J5" t="s">
        <v>275</v>
      </c>
      <c r="K5" t="s">
        <v>70</v>
      </c>
      <c r="L5" t="s">
        <v>71</v>
      </c>
      <c r="M5" t="s">
        <v>8</v>
      </c>
      <c r="N5" t="s">
        <v>9</v>
      </c>
      <c r="O5" t="s">
        <v>76</v>
      </c>
      <c r="P5" t="s">
        <v>276</v>
      </c>
      <c r="Q5" t="s">
        <v>277</v>
      </c>
      <c r="R5" t="s">
        <v>278</v>
      </c>
      <c r="S5" t="s">
        <v>279</v>
      </c>
      <c r="T5" t="s">
        <v>72</v>
      </c>
      <c r="U5" t="s">
        <v>77</v>
      </c>
      <c r="V5" t="s">
        <v>280</v>
      </c>
      <c r="W5" t="s">
        <v>281</v>
      </c>
      <c r="X5" t="s">
        <v>282</v>
      </c>
    </row>
    <row r="6" spans="1:35">
      <c r="B6" s="25"/>
      <c r="C6">
        <v>1</v>
      </c>
      <c r="D6">
        <v>0</v>
      </c>
      <c r="E6">
        <v>0</v>
      </c>
      <c r="F6">
        <v>0</v>
      </c>
      <c r="G6" s="1">
        <v>1</v>
      </c>
      <c r="H6" s="1">
        <v>0</v>
      </c>
      <c r="I6" s="1">
        <v>0</v>
      </c>
      <c r="J6" s="1">
        <v>0.1</v>
      </c>
      <c r="K6" s="1">
        <v>0.1</v>
      </c>
      <c r="L6" s="1">
        <v>0</v>
      </c>
      <c r="M6" s="1">
        <v>1000000000000</v>
      </c>
      <c r="N6" s="1">
        <v>0</v>
      </c>
      <c r="O6" s="1">
        <v>0</v>
      </c>
      <c r="P6" s="1">
        <v>1000000000000</v>
      </c>
      <c r="Q6" s="1">
        <v>1000000000000</v>
      </c>
      <c r="R6" s="1">
        <v>0</v>
      </c>
      <c r="S6" s="1">
        <v>10000000000</v>
      </c>
      <c r="T6" s="1">
        <v>1E+16</v>
      </c>
      <c r="U6" s="1">
        <v>1E+16</v>
      </c>
      <c r="V6" s="1">
        <v>0</v>
      </c>
      <c r="W6" s="1">
        <v>0</v>
      </c>
      <c r="X6" s="1">
        <v>0</v>
      </c>
      <c r="Y6" s="1"/>
      <c r="Z6" s="1"/>
      <c r="AA6" s="1"/>
      <c r="AB6" s="1"/>
      <c r="AC6" s="1"/>
      <c r="AD6" s="1"/>
      <c r="AE6" s="1"/>
      <c r="AF6" s="1"/>
      <c r="AG6" s="1"/>
      <c r="AH6" s="1"/>
      <c r="AI6" s="1"/>
    </row>
    <row r="7" spans="1:35">
      <c r="B7" s="25"/>
      <c r="D7">
        <v>0.14729999999999999</v>
      </c>
      <c r="E7">
        <v>0</v>
      </c>
      <c r="F7">
        <v>0</v>
      </c>
      <c r="G7" s="1">
        <v>1</v>
      </c>
      <c r="H7">
        <v>0</v>
      </c>
      <c r="I7" s="1">
        <v>0</v>
      </c>
      <c r="J7" s="1">
        <v>0.1</v>
      </c>
      <c r="K7" s="1">
        <v>0.1</v>
      </c>
      <c r="L7" s="1">
        <v>0</v>
      </c>
      <c r="M7" s="1">
        <v>1000000000000</v>
      </c>
      <c r="N7" s="1">
        <v>0</v>
      </c>
      <c r="O7" s="1">
        <v>0</v>
      </c>
      <c r="P7" s="1">
        <v>1000000000000</v>
      </c>
      <c r="Q7" s="1">
        <v>1000000000000</v>
      </c>
      <c r="R7" s="1">
        <v>0</v>
      </c>
      <c r="S7" s="1">
        <v>10000000000</v>
      </c>
      <c r="T7" s="1">
        <v>1E+16</v>
      </c>
      <c r="U7" s="1">
        <v>1E+16</v>
      </c>
      <c r="V7" s="1">
        <v>0</v>
      </c>
      <c r="W7" s="1">
        <v>0</v>
      </c>
      <c r="X7" s="1">
        <v>0.14729999999999999</v>
      </c>
      <c r="Y7" s="1"/>
      <c r="Z7" s="1"/>
      <c r="AA7" s="1"/>
      <c r="AB7" s="1"/>
      <c r="AC7" s="1"/>
      <c r="AD7" s="1"/>
      <c r="AE7" s="1"/>
      <c r="AF7" s="1"/>
      <c r="AG7" s="1"/>
      <c r="AH7" s="1"/>
      <c r="AI7" s="1"/>
    </row>
    <row r="8" spans="1:35">
      <c r="B8" s="25"/>
      <c r="C8">
        <v>2</v>
      </c>
      <c r="D8">
        <v>0.14729999999999999</v>
      </c>
      <c r="E8">
        <v>0</v>
      </c>
      <c r="F8">
        <v>0</v>
      </c>
      <c r="G8" s="1">
        <v>2.0546380000000002</v>
      </c>
      <c r="H8" s="1">
        <v>3.2071000000000002E-2</v>
      </c>
      <c r="I8" s="1">
        <v>-5.228E-3</v>
      </c>
      <c r="J8" s="1">
        <v>1.8654199999999999E-4</v>
      </c>
      <c r="K8" s="1">
        <v>6.0449620000000001E-3</v>
      </c>
      <c r="L8" s="1">
        <v>9.6799500000000003E-4</v>
      </c>
      <c r="M8" s="1">
        <v>57826880</v>
      </c>
      <c r="N8" s="1">
        <v>-2703.009</v>
      </c>
      <c r="O8" s="1">
        <v>-1865.6510000000001</v>
      </c>
      <c r="P8" s="1">
        <v>1236.883</v>
      </c>
      <c r="Q8" s="1">
        <v>19881.87</v>
      </c>
      <c r="R8" s="1">
        <v>2788.895</v>
      </c>
      <c r="S8" s="1">
        <v>808.29100000000005</v>
      </c>
      <c r="T8" s="1">
        <v>1819921</v>
      </c>
      <c r="U8" s="1">
        <v>1610735</v>
      </c>
      <c r="V8" s="1">
        <v>-313.51220000000001</v>
      </c>
      <c r="W8" s="1">
        <v>6770.7340000000004</v>
      </c>
      <c r="X8" s="1">
        <v>0.14729999999999999</v>
      </c>
      <c r="Y8" s="1"/>
      <c r="Z8" s="1"/>
      <c r="AA8" s="1"/>
      <c r="AB8" s="1"/>
      <c r="AC8" s="1"/>
      <c r="AD8" s="1"/>
      <c r="AE8" s="1"/>
      <c r="AF8" s="1"/>
      <c r="AG8" s="1"/>
      <c r="AH8" s="1"/>
      <c r="AI8" s="1"/>
    </row>
    <row r="9" spans="1:35">
      <c r="B9" s="25"/>
      <c r="D9">
        <v>0.247</v>
      </c>
      <c r="E9">
        <v>0</v>
      </c>
      <c r="F9">
        <v>0</v>
      </c>
      <c r="G9" s="1">
        <v>1.7476830000000001</v>
      </c>
      <c r="H9">
        <v>1.3828E-2</v>
      </c>
      <c r="I9" s="1">
        <v>-1.738E-3</v>
      </c>
      <c r="J9" s="1">
        <v>8.9917260000000004E-5</v>
      </c>
      <c r="K9" s="1">
        <v>2.947856E-3</v>
      </c>
      <c r="L9" s="1">
        <v>4.2069889999999998E-4</v>
      </c>
      <c r="M9" s="1">
        <v>43738840</v>
      </c>
      <c r="N9" s="1">
        <v>28312.06</v>
      </c>
      <c r="O9" s="1">
        <v>-29489.99</v>
      </c>
      <c r="P9" s="1">
        <v>1160.405</v>
      </c>
      <c r="Q9" s="1">
        <v>15936.02</v>
      </c>
      <c r="R9" s="1">
        <v>2078.7979999999998</v>
      </c>
      <c r="S9" s="1">
        <v>729.80179999999996</v>
      </c>
      <c r="T9" s="1">
        <v>1574576</v>
      </c>
      <c r="U9" s="1">
        <v>1393590</v>
      </c>
      <c r="V9" s="1">
        <v>1287.829</v>
      </c>
      <c r="W9" s="1">
        <v>2694.7660000000001</v>
      </c>
      <c r="X9" s="1">
        <v>0.247</v>
      </c>
      <c r="Y9" s="1"/>
      <c r="Z9" s="1"/>
      <c r="AA9" s="1"/>
      <c r="AB9" s="1"/>
      <c r="AC9" s="1"/>
      <c r="AD9" s="1"/>
      <c r="AE9" s="1"/>
      <c r="AF9" s="1"/>
      <c r="AG9" s="1"/>
      <c r="AH9" s="1"/>
      <c r="AI9" s="1"/>
    </row>
    <row r="10" spans="1:35">
      <c r="B10" s="25"/>
      <c r="C10">
        <v>3</v>
      </c>
      <c r="D10">
        <v>0.247</v>
      </c>
      <c r="E10">
        <v>0</v>
      </c>
      <c r="F10">
        <v>0</v>
      </c>
      <c r="G10" s="1">
        <v>1.7476830000000001</v>
      </c>
      <c r="H10" s="1">
        <v>1.3828E-2</v>
      </c>
      <c r="I10" s="1">
        <v>-1.738E-3</v>
      </c>
      <c r="J10" s="1">
        <v>8.9917260000000004E-5</v>
      </c>
      <c r="K10" s="1">
        <v>2.947856E-3</v>
      </c>
      <c r="L10" s="1">
        <v>4.2069889999999998E-4</v>
      </c>
      <c r="M10" s="1">
        <v>43738840</v>
      </c>
      <c r="N10" s="1">
        <v>28312.06</v>
      </c>
      <c r="O10" s="1">
        <v>-29489.99</v>
      </c>
      <c r="P10" s="1">
        <v>1160.405</v>
      </c>
      <c r="Q10" s="1">
        <v>15936.02</v>
      </c>
      <c r="R10" s="1">
        <v>2078.7979999999998</v>
      </c>
      <c r="S10" s="1">
        <v>729.80179999999996</v>
      </c>
      <c r="T10" s="1">
        <v>1574576</v>
      </c>
      <c r="U10" s="1">
        <v>1393590</v>
      </c>
      <c r="V10" s="1">
        <v>1287.829</v>
      </c>
      <c r="W10" s="1">
        <v>2694.7660000000001</v>
      </c>
      <c r="X10" s="1">
        <v>0.247</v>
      </c>
      <c r="Y10" s="1"/>
      <c r="Z10" s="1"/>
      <c r="AA10" s="1"/>
      <c r="AB10" s="1"/>
      <c r="AC10" s="1"/>
      <c r="AD10" s="1"/>
      <c r="AE10" s="1"/>
      <c r="AF10" s="1"/>
      <c r="AG10" s="1"/>
      <c r="AH10" s="1"/>
      <c r="AI10" s="1"/>
    </row>
    <row r="11" spans="1:35">
      <c r="B11" s="25"/>
      <c r="D11">
        <v>0.33189999999999997</v>
      </c>
      <c r="E11">
        <v>0</v>
      </c>
      <c r="F11">
        <v>0</v>
      </c>
      <c r="G11" s="1">
        <v>1.427343</v>
      </c>
      <c r="H11">
        <v>-1.0269999999999999E-3</v>
      </c>
      <c r="I11" s="1">
        <v>1.5100000000000001E-3</v>
      </c>
      <c r="J11" s="1">
        <v>4.9196870000000001E-5</v>
      </c>
      <c r="K11" s="1">
        <v>1.489396E-3</v>
      </c>
      <c r="L11" s="1">
        <v>1.5755359999999999E-4</v>
      </c>
      <c r="M11" s="1">
        <v>28318240</v>
      </c>
      <c r="N11" s="1">
        <v>58063.38</v>
      </c>
      <c r="O11" s="1">
        <v>-29839.47</v>
      </c>
      <c r="P11" s="1">
        <v>1227.181</v>
      </c>
      <c r="Q11" s="1">
        <v>11587.29</v>
      </c>
      <c r="R11" s="1">
        <v>1216.9839999999999</v>
      </c>
      <c r="S11" s="1">
        <v>630.00480000000005</v>
      </c>
      <c r="T11" s="1">
        <v>1191675</v>
      </c>
      <c r="U11" s="1">
        <v>1054701</v>
      </c>
      <c r="V11" s="1">
        <v>3588.9380000000001</v>
      </c>
      <c r="W11" s="1">
        <v>1439.913</v>
      </c>
      <c r="X11" s="1">
        <v>0.33189999999999997</v>
      </c>
      <c r="Y11" s="1"/>
      <c r="Z11" s="1"/>
      <c r="AA11" s="1"/>
      <c r="AB11" s="1"/>
      <c r="AC11" s="1"/>
      <c r="AD11" s="1"/>
      <c r="AE11" s="1"/>
      <c r="AF11" s="1"/>
      <c r="AG11" s="1"/>
      <c r="AH11" s="1"/>
      <c r="AI11" s="1"/>
    </row>
    <row r="12" spans="1:35">
      <c r="B12" s="25"/>
      <c r="C12">
        <v>4</v>
      </c>
      <c r="D12">
        <v>0.33189999999999997</v>
      </c>
      <c r="E12">
        <v>0</v>
      </c>
      <c r="F12">
        <v>0</v>
      </c>
      <c r="G12" s="1">
        <v>1.427343</v>
      </c>
      <c r="H12" s="1">
        <v>-1.0269999999999999E-3</v>
      </c>
      <c r="I12" s="1">
        <v>1.5100000000000001E-3</v>
      </c>
      <c r="J12" s="1">
        <v>4.9196870000000001E-5</v>
      </c>
      <c r="K12" s="1">
        <v>1.489396E-3</v>
      </c>
      <c r="L12" s="1">
        <v>1.5755359999999999E-4</v>
      </c>
      <c r="M12" s="1">
        <v>28318240</v>
      </c>
      <c r="N12" s="1">
        <v>58063.38</v>
      </c>
      <c r="O12" s="1">
        <v>-29839.47</v>
      </c>
      <c r="P12" s="1">
        <v>1227.181</v>
      </c>
      <c r="Q12" s="1">
        <v>11587.29</v>
      </c>
      <c r="R12" s="1">
        <v>1216.9839999999999</v>
      </c>
      <c r="S12" s="1">
        <v>630.00480000000005</v>
      </c>
      <c r="T12" s="1">
        <v>1191675</v>
      </c>
      <c r="U12" s="1">
        <v>1054701</v>
      </c>
      <c r="V12" s="1">
        <v>3588.9380000000001</v>
      </c>
      <c r="W12" s="1">
        <v>1439.913</v>
      </c>
      <c r="X12" s="1">
        <v>0.33189999999999997</v>
      </c>
      <c r="Y12" s="1"/>
      <c r="Z12" s="1"/>
      <c r="AA12" s="1"/>
      <c r="AB12" s="1"/>
      <c r="AC12" s="1"/>
      <c r="AD12" s="1"/>
      <c r="AE12" s="1"/>
      <c r="AF12" s="1"/>
      <c r="AG12" s="1"/>
      <c r="AH12" s="1"/>
      <c r="AI12" s="1"/>
    </row>
    <row r="13" spans="1:35">
      <c r="B13" s="25"/>
      <c r="D13">
        <v>0.41570000000000001</v>
      </c>
      <c r="E13">
        <v>0</v>
      </c>
      <c r="F13">
        <v>0</v>
      </c>
      <c r="G13" s="1">
        <v>1.30735</v>
      </c>
      <c r="H13">
        <v>5.0559999999999997E-3</v>
      </c>
      <c r="I13" s="1">
        <v>8.6799999999999996E-4</v>
      </c>
      <c r="J13" s="1">
        <v>4.4367640000000001E-5</v>
      </c>
      <c r="K13" s="1">
        <v>1.4019900000000001E-3</v>
      </c>
      <c r="L13" s="1">
        <v>1.3020339999999999E-4</v>
      </c>
      <c r="M13" s="1">
        <v>27798170</v>
      </c>
      <c r="N13" s="1">
        <v>66197.279999999999</v>
      </c>
      <c r="O13" s="1">
        <v>-22800.67</v>
      </c>
      <c r="P13" s="1">
        <v>1167.1320000000001</v>
      </c>
      <c r="Q13" s="1">
        <v>11384.16</v>
      </c>
      <c r="R13" s="1">
        <v>1094.223</v>
      </c>
      <c r="S13" s="1">
        <v>583.57129999999995</v>
      </c>
      <c r="T13" s="1">
        <v>1098259</v>
      </c>
      <c r="U13" s="1">
        <v>972021.9</v>
      </c>
      <c r="V13" s="1">
        <v>3637.9389999999999</v>
      </c>
      <c r="W13" s="1">
        <v>1955.7239999999999</v>
      </c>
      <c r="X13" s="1">
        <v>0.41570000000000001</v>
      </c>
      <c r="Y13" s="1"/>
      <c r="Z13" s="1"/>
      <c r="AA13" s="1"/>
      <c r="AB13" s="1"/>
      <c r="AC13" s="1"/>
      <c r="AD13" s="1"/>
      <c r="AE13" s="1"/>
      <c r="AF13" s="1"/>
      <c r="AG13" s="1"/>
      <c r="AH13" s="1"/>
      <c r="AI13" s="1"/>
    </row>
    <row r="14" spans="1:35">
      <c r="B14" s="25"/>
      <c r="C14">
        <v>5</v>
      </c>
      <c r="D14">
        <v>0.41570000000000001</v>
      </c>
      <c r="E14">
        <v>0</v>
      </c>
      <c r="F14">
        <v>0</v>
      </c>
      <c r="G14" s="1">
        <v>1.30735</v>
      </c>
      <c r="H14" s="1">
        <v>5.0559999999999997E-3</v>
      </c>
      <c r="I14" s="1">
        <v>8.6799999999999996E-4</v>
      </c>
      <c r="J14" s="1">
        <v>4.4367640000000001E-5</v>
      </c>
      <c r="K14" s="1">
        <v>1.4019900000000001E-3</v>
      </c>
      <c r="L14" s="1">
        <v>1.3020339999999999E-4</v>
      </c>
      <c r="M14" s="1">
        <v>27798170</v>
      </c>
      <c r="N14" s="1">
        <v>66197.279999999999</v>
      </c>
      <c r="O14" s="1">
        <v>-22800.67</v>
      </c>
      <c r="P14" s="1">
        <v>1167.1320000000001</v>
      </c>
      <c r="Q14" s="1">
        <v>11384.16</v>
      </c>
      <c r="R14" s="1">
        <v>1094.223</v>
      </c>
      <c r="S14" s="1">
        <v>583.57129999999995</v>
      </c>
      <c r="T14" s="1">
        <v>1098259</v>
      </c>
      <c r="U14" s="1">
        <v>972021.9</v>
      </c>
      <c r="V14" s="1">
        <v>3637.9389999999999</v>
      </c>
      <c r="W14" s="1">
        <v>1955.7239999999999</v>
      </c>
      <c r="X14" s="1">
        <v>0.41570000000000001</v>
      </c>
      <c r="Y14" s="1"/>
      <c r="Z14" s="1"/>
      <c r="AA14" s="1"/>
      <c r="AB14" s="1"/>
      <c r="AC14" s="1"/>
      <c r="AD14" s="1"/>
      <c r="AE14" s="1"/>
      <c r="AF14" s="1"/>
      <c r="AG14" s="1"/>
      <c r="AH14" s="1"/>
      <c r="AI14" s="1"/>
    </row>
    <row r="15" spans="1:35">
      <c r="B15" s="25"/>
      <c r="D15">
        <v>0.50129999999999997</v>
      </c>
      <c r="E15">
        <v>0</v>
      </c>
      <c r="F15">
        <v>0</v>
      </c>
      <c r="G15" s="1">
        <v>1.1850039999999999</v>
      </c>
      <c r="H15">
        <v>1.1727E-2</v>
      </c>
      <c r="I15" s="1">
        <v>2.7099999999999997E-4</v>
      </c>
      <c r="J15" s="1">
        <v>4.1594639999999999E-5</v>
      </c>
      <c r="K15" s="1">
        <v>1.4113579999999999E-3</v>
      </c>
      <c r="L15" s="1">
        <v>1.179212E-4</v>
      </c>
      <c r="M15" s="1">
        <v>27650180</v>
      </c>
      <c r="N15" s="1">
        <v>73705.03</v>
      </c>
      <c r="O15" s="1">
        <v>-16168.16</v>
      </c>
      <c r="P15" s="1">
        <v>1097.22</v>
      </c>
      <c r="Q15" s="1">
        <v>11285.69</v>
      </c>
      <c r="R15" s="1">
        <v>990.28449999999998</v>
      </c>
      <c r="S15" s="1">
        <v>537.91060000000004</v>
      </c>
      <c r="T15" s="1">
        <v>1014849</v>
      </c>
      <c r="U15" s="1">
        <v>898199.5</v>
      </c>
      <c r="V15" s="1">
        <v>3569.81</v>
      </c>
      <c r="W15" s="1">
        <v>2334.0059999999999</v>
      </c>
      <c r="X15" s="1">
        <v>0.50129999999999997</v>
      </c>
      <c r="Y15" s="1"/>
      <c r="Z15" s="1"/>
      <c r="AA15" s="1"/>
      <c r="AB15" s="1"/>
      <c r="AC15" s="1"/>
      <c r="AD15" s="1"/>
      <c r="AE15" s="1"/>
      <c r="AF15" s="1"/>
      <c r="AG15" s="1"/>
      <c r="AH15" s="1"/>
      <c r="AI15" s="1"/>
    </row>
    <row r="16" spans="1:35">
      <c r="B16" s="25"/>
      <c r="C16">
        <v>6</v>
      </c>
      <c r="D16">
        <v>0.50129999999999997</v>
      </c>
      <c r="E16">
        <v>0</v>
      </c>
      <c r="F16">
        <v>0</v>
      </c>
      <c r="G16" s="1">
        <v>1.1850039999999999</v>
      </c>
      <c r="H16" s="1">
        <v>1.1727E-2</v>
      </c>
      <c r="I16" s="1">
        <v>2.7099999999999997E-4</v>
      </c>
      <c r="J16" s="1">
        <v>4.1594639999999999E-5</v>
      </c>
      <c r="K16" s="1">
        <v>1.4113579999999999E-3</v>
      </c>
      <c r="L16" s="1">
        <v>1.179212E-4</v>
      </c>
      <c r="M16" s="1">
        <v>27650180</v>
      </c>
      <c r="N16" s="1">
        <v>73705.03</v>
      </c>
      <c r="O16" s="1">
        <v>-16168.16</v>
      </c>
      <c r="P16" s="1">
        <v>1097.22</v>
      </c>
      <c r="Q16" s="1">
        <v>11285.69</v>
      </c>
      <c r="R16" s="1">
        <v>990.28449999999998</v>
      </c>
      <c r="S16" s="1">
        <v>537.91060000000004</v>
      </c>
      <c r="T16" s="1">
        <v>1014849</v>
      </c>
      <c r="U16" s="1">
        <v>898199.5</v>
      </c>
      <c r="V16" s="1">
        <v>3569.81</v>
      </c>
      <c r="W16" s="1">
        <v>2334.0059999999999</v>
      </c>
      <c r="X16" s="1">
        <v>0.50129999999999997</v>
      </c>
      <c r="Y16" s="1"/>
      <c r="Z16" s="1"/>
      <c r="AA16" s="1"/>
      <c r="AB16" s="1"/>
      <c r="AC16" s="1"/>
      <c r="AD16" s="1"/>
      <c r="AE16" s="1"/>
      <c r="AF16" s="1"/>
      <c r="AG16" s="1"/>
      <c r="AH16" s="1"/>
      <c r="AI16" s="1"/>
    </row>
    <row r="17" spans="2:35">
      <c r="B17" s="25"/>
      <c r="D17">
        <v>0.58499999999999996</v>
      </c>
      <c r="E17">
        <v>0</v>
      </c>
      <c r="F17">
        <v>0</v>
      </c>
      <c r="G17" s="1">
        <v>1.085086</v>
      </c>
      <c r="H17">
        <v>1.6927999999999999E-2</v>
      </c>
      <c r="I17" s="1">
        <v>6.1300000000000005E-4</v>
      </c>
      <c r="J17" s="1">
        <v>3.7928130000000002E-5</v>
      </c>
      <c r="K17" s="1">
        <v>1.4704010000000001E-3</v>
      </c>
      <c r="L17" s="1">
        <v>8.8121619999999995E-5</v>
      </c>
      <c r="M17" s="1">
        <v>27534490</v>
      </c>
      <c r="N17" s="1">
        <v>51415.22</v>
      </c>
      <c r="O17" s="1">
        <v>-13367.37</v>
      </c>
      <c r="P17" s="1">
        <v>891.09979999999996</v>
      </c>
      <c r="Q17" s="1">
        <v>11213.87</v>
      </c>
      <c r="R17" s="1">
        <v>784.81650000000002</v>
      </c>
      <c r="S17" s="1">
        <v>496.46</v>
      </c>
      <c r="T17" s="1">
        <v>945123.9</v>
      </c>
      <c r="U17" s="1">
        <v>836489</v>
      </c>
      <c r="V17" s="1">
        <v>2744.4670000000001</v>
      </c>
      <c r="W17" s="1">
        <v>2618.56</v>
      </c>
      <c r="X17" s="1">
        <v>0.58499999999999996</v>
      </c>
      <c r="Y17" s="1"/>
      <c r="Z17" s="1"/>
      <c r="AA17" s="1"/>
      <c r="AB17" s="1"/>
      <c r="AC17" s="1"/>
      <c r="AD17" s="1"/>
      <c r="AE17" s="1"/>
      <c r="AF17" s="1"/>
      <c r="AG17" s="1"/>
      <c r="AH17" s="1"/>
      <c r="AI17" s="1"/>
    </row>
    <row r="18" spans="2:35">
      <c r="B18" s="25"/>
      <c r="C18">
        <v>7</v>
      </c>
      <c r="D18">
        <v>0.58499999999999996</v>
      </c>
      <c r="E18">
        <v>0</v>
      </c>
      <c r="F18">
        <v>0</v>
      </c>
      <c r="G18" s="1">
        <v>1.085086</v>
      </c>
      <c r="H18" s="1">
        <v>1.6927999999999999E-2</v>
      </c>
      <c r="I18" s="1">
        <v>6.1300000000000005E-4</v>
      </c>
      <c r="J18" s="1">
        <v>3.7928130000000002E-5</v>
      </c>
      <c r="K18" s="1">
        <v>1.4704010000000001E-3</v>
      </c>
      <c r="L18" s="1">
        <v>8.8121619999999995E-5</v>
      </c>
      <c r="M18" s="1">
        <v>27534490</v>
      </c>
      <c r="N18" s="1">
        <v>51415.22</v>
      </c>
      <c r="O18" s="1">
        <v>-13367.37</v>
      </c>
      <c r="P18" s="1">
        <v>891.09979999999996</v>
      </c>
      <c r="Q18" s="1">
        <v>11213.87</v>
      </c>
      <c r="R18" s="1">
        <v>784.81650000000002</v>
      </c>
      <c r="S18" s="1">
        <v>496.46</v>
      </c>
      <c r="T18" s="1">
        <v>945123.9</v>
      </c>
      <c r="U18" s="1">
        <v>836489</v>
      </c>
      <c r="V18" s="1">
        <v>2744.4670000000001</v>
      </c>
      <c r="W18" s="1">
        <v>2618.56</v>
      </c>
      <c r="X18" s="1">
        <v>0.58499999999999996</v>
      </c>
      <c r="Y18" s="1"/>
      <c r="Z18" s="1"/>
      <c r="AA18" s="1"/>
      <c r="AB18" s="1"/>
      <c r="AC18" s="1"/>
      <c r="AD18" s="1"/>
      <c r="AE18" s="1"/>
      <c r="AF18" s="1"/>
      <c r="AG18" s="1"/>
      <c r="AH18" s="1"/>
      <c r="AI18" s="1"/>
    </row>
    <row r="19" spans="2:35">
      <c r="B19" s="25"/>
      <c r="D19">
        <v>0.67030000000000001</v>
      </c>
      <c r="E19">
        <v>0</v>
      </c>
      <c r="F19">
        <v>0</v>
      </c>
      <c r="G19" s="1">
        <v>1.3076620000000001</v>
      </c>
      <c r="H19">
        <v>4.5240000000000002E-3</v>
      </c>
      <c r="I19" s="1">
        <v>1.392E-3</v>
      </c>
      <c r="J19" s="1">
        <v>3.6148130000000002E-5</v>
      </c>
      <c r="K19" s="1">
        <v>1.4391339999999999E-3</v>
      </c>
      <c r="L19" s="1">
        <v>7.536469E-5</v>
      </c>
      <c r="M19" s="1">
        <v>26267150</v>
      </c>
      <c r="N19" s="1">
        <v>47727.06</v>
      </c>
      <c r="O19" s="1">
        <v>-25278.84</v>
      </c>
      <c r="P19" s="1">
        <v>989.11410000000001</v>
      </c>
      <c r="Q19" s="1">
        <v>11182.11</v>
      </c>
      <c r="R19" s="1">
        <v>643.30060000000003</v>
      </c>
      <c r="S19" s="1">
        <v>584.79960000000005</v>
      </c>
      <c r="T19" s="1">
        <v>1068182</v>
      </c>
      <c r="U19" s="1">
        <v>945402.2</v>
      </c>
      <c r="V19" s="1">
        <v>3190.3090000000002</v>
      </c>
      <c r="W19" s="1">
        <v>1802.4580000000001</v>
      </c>
      <c r="X19" s="1">
        <v>0.67030000000000001</v>
      </c>
      <c r="Y19" s="1"/>
      <c r="Z19" s="1"/>
      <c r="AA19" s="1"/>
      <c r="AB19" s="1"/>
      <c r="AC19" s="1"/>
      <c r="AD19" s="1"/>
      <c r="AE19" s="1"/>
      <c r="AF19" s="1"/>
      <c r="AG19" s="1"/>
      <c r="AH19" s="1"/>
      <c r="AI19" s="1"/>
    </row>
    <row r="20" spans="2:35">
      <c r="B20" s="25"/>
      <c r="C20">
        <v>8</v>
      </c>
      <c r="D20">
        <v>0.67030000000000001</v>
      </c>
      <c r="E20">
        <v>0</v>
      </c>
      <c r="F20">
        <v>0</v>
      </c>
      <c r="G20" s="1">
        <v>1.3076620000000001</v>
      </c>
      <c r="H20" s="1">
        <v>4.5240000000000002E-3</v>
      </c>
      <c r="I20" s="1">
        <v>1.392E-3</v>
      </c>
      <c r="J20" s="1">
        <v>3.6148130000000002E-5</v>
      </c>
      <c r="K20" s="1">
        <v>1.4391339999999999E-3</v>
      </c>
      <c r="L20" s="1">
        <v>7.536469E-5</v>
      </c>
      <c r="M20" s="1">
        <v>26267150</v>
      </c>
      <c r="N20" s="1">
        <v>47727.06</v>
      </c>
      <c r="O20" s="1">
        <v>-25278.84</v>
      </c>
      <c r="P20" s="1">
        <v>989.11410000000001</v>
      </c>
      <c r="Q20" s="1">
        <v>11182.11</v>
      </c>
      <c r="R20" s="1">
        <v>643.30060000000003</v>
      </c>
      <c r="S20" s="1">
        <v>584.79960000000005</v>
      </c>
      <c r="T20" s="1">
        <v>1068182</v>
      </c>
      <c r="U20" s="1">
        <v>945402.2</v>
      </c>
      <c r="V20" s="1">
        <v>3190.3090000000002</v>
      </c>
      <c r="W20" s="1">
        <v>1802.4580000000001</v>
      </c>
      <c r="X20" s="1">
        <v>0.67030000000000001</v>
      </c>
      <c r="Y20" s="1"/>
      <c r="Z20" s="1"/>
      <c r="AA20" s="1"/>
      <c r="AB20" s="1"/>
      <c r="AC20" s="1"/>
      <c r="AD20" s="1"/>
      <c r="AE20" s="1"/>
      <c r="AF20" s="1"/>
      <c r="AG20" s="1"/>
      <c r="AH20" s="1"/>
      <c r="AI20" s="1"/>
    </row>
    <row r="21" spans="2:35">
      <c r="B21" s="25"/>
      <c r="D21">
        <v>0.75419999999999998</v>
      </c>
      <c r="E21">
        <v>0</v>
      </c>
      <c r="F21">
        <v>0</v>
      </c>
      <c r="G21" s="1">
        <v>1.3926750000000001</v>
      </c>
      <c r="H21">
        <v>-1.0430000000000001E-3</v>
      </c>
      <c r="I21" s="1">
        <v>1.464E-3</v>
      </c>
      <c r="J21" s="1">
        <v>3.4376569999999997E-5</v>
      </c>
      <c r="K21" s="1">
        <v>1.5046630000000001E-3</v>
      </c>
      <c r="L21" s="1">
        <v>6.7729230000000004E-5</v>
      </c>
      <c r="M21" s="1">
        <v>24392180</v>
      </c>
      <c r="N21" s="1">
        <v>49798.93</v>
      </c>
      <c r="O21" s="1">
        <v>-22342.73</v>
      </c>
      <c r="P21" s="1">
        <v>1010.779</v>
      </c>
      <c r="Q21" s="1">
        <v>10745.03</v>
      </c>
      <c r="R21" s="1">
        <v>518.60450000000003</v>
      </c>
      <c r="S21" s="1">
        <v>628.57910000000004</v>
      </c>
      <c r="T21" s="1">
        <v>1113873</v>
      </c>
      <c r="U21" s="1">
        <v>985841.8</v>
      </c>
      <c r="V21" s="1">
        <v>3578.194</v>
      </c>
      <c r="W21" s="1">
        <v>1410.9480000000001</v>
      </c>
      <c r="X21" s="1">
        <v>0.75419999999999998</v>
      </c>
      <c r="Y21" s="1"/>
      <c r="Z21" s="1"/>
      <c r="AA21" s="1"/>
      <c r="AB21" s="1"/>
      <c r="AC21" s="1"/>
      <c r="AD21" s="1"/>
      <c r="AE21" s="1"/>
      <c r="AF21" s="1"/>
      <c r="AG21" s="1"/>
      <c r="AH21" s="1"/>
      <c r="AI21" s="1"/>
    </row>
    <row r="22" spans="2:35">
      <c r="B22" s="25"/>
      <c r="C22">
        <v>9</v>
      </c>
      <c r="D22">
        <v>0.75419999999999998</v>
      </c>
      <c r="E22">
        <v>0</v>
      </c>
      <c r="F22">
        <v>0</v>
      </c>
      <c r="G22" s="1">
        <v>1.3926750000000001</v>
      </c>
      <c r="H22" s="1">
        <v>-1.0430000000000001E-3</v>
      </c>
      <c r="I22" s="1">
        <v>1.464E-3</v>
      </c>
      <c r="J22" s="1">
        <v>3.4376569999999997E-5</v>
      </c>
      <c r="K22" s="1">
        <v>1.5046630000000001E-3</v>
      </c>
      <c r="L22" s="1">
        <v>6.7729230000000004E-5</v>
      </c>
      <c r="M22" s="1">
        <v>24392180</v>
      </c>
      <c r="N22" s="1">
        <v>49798.93</v>
      </c>
      <c r="O22" s="1">
        <v>-22342.73</v>
      </c>
      <c r="P22" s="1">
        <v>1010.779</v>
      </c>
      <c r="Q22" s="1">
        <v>10745.03</v>
      </c>
      <c r="R22" s="1">
        <v>518.60450000000003</v>
      </c>
      <c r="S22" s="1">
        <v>628.57910000000004</v>
      </c>
      <c r="T22" s="1">
        <v>1113873</v>
      </c>
      <c r="U22" s="1">
        <v>985841.8</v>
      </c>
      <c r="V22" s="1">
        <v>3578.194</v>
      </c>
      <c r="W22" s="1">
        <v>1410.9480000000001</v>
      </c>
      <c r="X22" s="1">
        <v>0.75419999999999998</v>
      </c>
      <c r="Y22" s="1"/>
      <c r="Z22" s="1"/>
      <c r="AA22" s="1"/>
      <c r="AB22" s="1"/>
      <c r="AC22" s="1"/>
      <c r="AD22" s="1"/>
      <c r="AE22" s="1"/>
      <c r="AF22" s="1"/>
      <c r="AG22" s="1"/>
      <c r="AH22" s="1"/>
      <c r="AI22" s="1"/>
    </row>
    <row r="23" spans="2:35">
      <c r="B23" s="25"/>
      <c r="D23">
        <v>0.83819999999999995</v>
      </c>
      <c r="E23">
        <v>0</v>
      </c>
      <c r="F23">
        <v>0</v>
      </c>
      <c r="G23" s="1">
        <v>1.4121969999999999</v>
      </c>
      <c r="H23">
        <v>-1.214E-3</v>
      </c>
      <c r="I23" s="1">
        <v>1.5659999999999999E-3</v>
      </c>
      <c r="J23" s="1">
        <v>3.2676950000000002E-5</v>
      </c>
      <c r="K23" s="1">
        <v>1.539758E-3</v>
      </c>
      <c r="L23" s="1">
        <v>5.6791259999999997E-5</v>
      </c>
      <c r="M23" s="1">
        <v>22469620</v>
      </c>
      <c r="N23" s="1">
        <v>45372.57</v>
      </c>
      <c r="O23" s="1">
        <v>4683.4290000000001</v>
      </c>
      <c r="P23" s="1">
        <v>826.57590000000005</v>
      </c>
      <c r="Q23" s="1">
        <v>9748.3269999999993</v>
      </c>
      <c r="R23" s="1">
        <v>347.07889999999998</v>
      </c>
      <c r="S23" s="1">
        <v>544.62919999999997</v>
      </c>
      <c r="T23" s="1">
        <v>976399.7</v>
      </c>
      <c r="U23" s="1">
        <v>864169.8</v>
      </c>
      <c r="V23" s="1">
        <v>3116.3290000000002</v>
      </c>
      <c r="W23" s="1">
        <v>1967.047</v>
      </c>
      <c r="X23" s="1">
        <v>0.83819999999999995</v>
      </c>
      <c r="Y23" s="1"/>
      <c r="Z23" s="1"/>
      <c r="AA23" s="1"/>
      <c r="AB23" s="1"/>
      <c r="AC23" s="1"/>
      <c r="AD23" s="1"/>
      <c r="AE23" s="1"/>
      <c r="AF23" s="1"/>
      <c r="AG23" s="1"/>
      <c r="AH23" s="1"/>
      <c r="AI23" s="1"/>
    </row>
    <row r="24" spans="2:35">
      <c r="B24" s="25"/>
      <c r="C24">
        <v>10</v>
      </c>
      <c r="D24">
        <v>0.83819999999999995</v>
      </c>
      <c r="E24">
        <v>0</v>
      </c>
      <c r="F24">
        <v>0</v>
      </c>
      <c r="G24" s="1">
        <v>1.4121969999999999</v>
      </c>
      <c r="H24" s="1">
        <v>-1.214E-3</v>
      </c>
      <c r="I24" s="1">
        <v>1.5659999999999999E-3</v>
      </c>
      <c r="J24" s="1">
        <v>3.2676950000000002E-5</v>
      </c>
      <c r="K24" s="1">
        <v>1.539758E-3</v>
      </c>
      <c r="L24" s="1">
        <v>5.6791259999999997E-5</v>
      </c>
      <c r="M24" s="1">
        <v>22469620</v>
      </c>
      <c r="N24" s="1">
        <v>45372.57</v>
      </c>
      <c r="O24" s="1">
        <v>4683.4290000000001</v>
      </c>
      <c r="P24" s="1">
        <v>826.57590000000005</v>
      </c>
      <c r="Q24" s="1">
        <v>9748.3269999999993</v>
      </c>
      <c r="R24" s="1">
        <v>347.07889999999998</v>
      </c>
      <c r="S24" s="1">
        <v>544.62919999999997</v>
      </c>
      <c r="T24" s="1">
        <v>976399.7</v>
      </c>
      <c r="U24" s="1">
        <v>864169.8</v>
      </c>
      <c r="V24" s="1">
        <v>3116.3290000000002</v>
      </c>
      <c r="W24" s="1">
        <v>1967.047</v>
      </c>
      <c r="X24" s="1">
        <v>0.83819999999999995</v>
      </c>
      <c r="Y24" s="1"/>
      <c r="Z24" s="1"/>
      <c r="AA24" s="1"/>
      <c r="AB24" s="1"/>
      <c r="AC24" s="1"/>
      <c r="AD24" s="1"/>
      <c r="AE24" s="1"/>
      <c r="AF24" s="1"/>
      <c r="AG24" s="1"/>
      <c r="AH24" s="1"/>
      <c r="AI24" s="1"/>
    </row>
    <row r="25" spans="2:35">
      <c r="B25" s="25"/>
      <c r="D25">
        <v>0.92320000000000002</v>
      </c>
      <c r="E25">
        <v>0</v>
      </c>
      <c r="F25">
        <v>0</v>
      </c>
      <c r="G25" s="1">
        <v>1.506586</v>
      </c>
      <c r="H25">
        <v>-6.0999999999999999E-5</v>
      </c>
      <c r="I25" s="1">
        <v>1.6069999999999999E-3</v>
      </c>
      <c r="J25" s="1">
        <v>3.2435750000000002E-5</v>
      </c>
      <c r="K25" s="1">
        <v>1.657059E-3</v>
      </c>
      <c r="L25" s="1">
        <v>1.878639E-5</v>
      </c>
      <c r="M25" s="1">
        <v>21077330</v>
      </c>
      <c r="N25" s="1">
        <v>43658.49</v>
      </c>
      <c r="O25" s="1">
        <v>48146.55</v>
      </c>
      <c r="P25" s="1">
        <v>526.72699999999998</v>
      </c>
      <c r="Q25" s="1">
        <v>8538.0220000000008</v>
      </c>
      <c r="R25" s="1">
        <v>172.94139999999999</v>
      </c>
      <c r="S25" s="1">
        <v>346.61009999999999</v>
      </c>
      <c r="T25" s="1">
        <v>685495</v>
      </c>
      <c r="U25" s="1">
        <v>606702.5</v>
      </c>
      <c r="V25" s="1">
        <v>2275.8389999999999</v>
      </c>
      <c r="W25" s="1">
        <v>2447.9009999999998</v>
      </c>
      <c r="X25" s="1">
        <v>0.92320000000000002</v>
      </c>
      <c r="Y25" s="1"/>
      <c r="Z25" s="1"/>
      <c r="AA25" s="1"/>
      <c r="AB25" s="1"/>
      <c r="AC25" s="1"/>
      <c r="AD25" s="1"/>
      <c r="AE25" s="1"/>
      <c r="AF25" s="1"/>
      <c r="AG25" s="1"/>
      <c r="AH25" s="1"/>
      <c r="AI25" s="1"/>
    </row>
    <row r="26" spans="2:35">
      <c r="B26" s="25"/>
      <c r="C26">
        <v>11</v>
      </c>
      <c r="D26">
        <v>0.92320000000000002</v>
      </c>
      <c r="E26">
        <v>0</v>
      </c>
      <c r="F26">
        <v>0</v>
      </c>
      <c r="G26" s="1">
        <v>1.506586</v>
      </c>
      <c r="H26" s="1">
        <v>-6.0999999999999999E-5</v>
      </c>
      <c r="I26" s="1">
        <v>1.6069999999999999E-3</v>
      </c>
      <c r="J26" s="1">
        <v>3.2435750000000002E-5</v>
      </c>
      <c r="K26" s="1">
        <v>1.657059E-3</v>
      </c>
      <c r="L26" s="1">
        <v>1.878639E-5</v>
      </c>
      <c r="M26" s="1">
        <v>21077330</v>
      </c>
      <c r="N26" s="1">
        <v>43658.49</v>
      </c>
      <c r="O26" s="1">
        <v>48146.55</v>
      </c>
      <c r="P26" s="1">
        <v>526.72699999999998</v>
      </c>
      <c r="Q26" s="1">
        <v>8538.0220000000008</v>
      </c>
      <c r="R26" s="1">
        <v>172.94139999999999</v>
      </c>
      <c r="S26" s="1">
        <v>346.61009999999999</v>
      </c>
      <c r="T26" s="1">
        <v>685495</v>
      </c>
      <c r="U26" s="1">
        <v>606702.5</v>
      </c>
      <c r="V26" s="1">
        <v>2275.8389999999999</v>
      </c>
      <c r="W26" s="1">
        <v>2447.9009999999998</v>
      </c>
      <c r="X26" s="1">
        <v>0.92320000000000002</v>
      </c>
      <c r="Y26" s="1"/>
      <c r="Z26" s="1"/>
      <c r="AA26" s="1"/>
      <c r="AB26" s="1"/>
      <c r="AC26" s="1"/>
      <c r="AD26" s="1"/>
      <c r="AE26" s="1"/>
      <c r="AF26" s="1"/>
      <c r="AG26" s="1"/>
      <c r="AH26" s="1"/>
      <c r="AI26" s="1"/>
    </row>
    <row r="27" spans="2:35">
      <c r="B27" s="25"/>
      <c r="D27">
        <v>1.0081</v>
      </c>
      <c r="E27">
        <v>0</v>
      </c>
      <c r="F27">
        <v>0</v>
      </c>
      <c r="G27" s="1">
        <v>1.5072570000000001</v>
      </c>
      <c r="H27">
        <v>-4.3660000000000001E-3</v>
      </c>
      <c r="I27" s="1">
        <v>1.4760000000000001E-3</v>
      </c>
      <c r="J27" s="1">
        <v>2.602371E-5</v>
      </c>
      <c r="K27" s="1">
        <v>1.6098600000000001E-3</v>
      </c>
      <c r="L27" s="1">
        <v>2.6122130000000001E-5</v>
      </c>
      <c r="M27" s="1">
        <v>20362300</v>
      </c>
      <c r="N27" s="1">
        <v>42323.92</v>
      </c>
      <c r="O27" s="1">
        <v>58272.55</v>
      </c>
      <c r="P27" s="1">
        <v>446.625</v>
      </c>
      <c r="Q27" s="1">
        <v>8017.1729999999998</v>
      </c>
      <c r="R27" s="1">
        <v>66.886650000000003</v>
      </c>
      <c r="S27" s="1">
        <v>293.95870000000002</v>
      </c>
      <c r="T27" s="1">
        <v>600604.19999999995</v>
      </c>
      <c r="U27" s="1">
        <v>531569.30000000005</v>
      </c>
      <c r="V27" s="1">
        <v>1916.6780000000001</v>
      </c>
      <c r="W27" s="1">
        <v>2473.2429999999999</v>
      </c>
      <c r="X27" s="1">
        <v>1.0081</v>
      </c>
      <c r="Y27" s="1"/>
      <c r="Z27" s="1"/>
      <c r="AA27" s="1"/>
      <c r="AB27" s="1"/>
      <c r="AC27" s="1"/>
      <c r="AD27" s="1"/>
      <c r="AE27" s="1"/>
      <c r="AF27" s="1"/>
      <c r="AG27" s="1"/>
      <c r="AH27" s="1"/>
      <c r="AI27" s="1"/>
    </row>
    <row r="28" spans="2:35">
      <c r="B28" s="25"/>
      <c r="C28">
        <v>12</v>
      </c>
      <c r="D28">
        <v>1.0081</v>
      </c>
      <c r="E28">
        <v>0</v>
      </c>
      <c r="F28">
        <v>0</v>
      </c>
      <c r="G28" s="1">
        <v>1.5072570000000001</v>
      </c>
      <c r="H28" s="1">
        <v>-4.3660000000000001E-3</v>
      </c>
      <c r="I28" s="1">
        <v>1.4760000000000001E-3</v>
      </c>
      <c r="J28" s="1">
        <v>2.602371E-5</v>
      </c>
      <c r="K28" s="1">
        <v>1.6098600000000001E-3</v>
      </c>
      <c r="L28" s="1">
        <v>2.6122130000000001E-5</v>
      </c>
      <c r="M28" s="1">
        <v>20362300</v>
      </c>
      <c r="N28" s="1">
        <v>42323.92</v>
      </c>
      <c r="O28" s="1">
        <v>58272.55</v>
      </c>
      <c r="P28" s="1">
        <v>446.625</v>
      </c>
      <c r="Q28" s="1">
        <v>8017.1729999999998</v>
      </c>
      <c r="R28" s="1">
        <v>66.886650000000003</v>
      </c>
      <c r="S28" s="1">
        <v>293.95870000000002</v>
      </c>
      <c r="T28" s="1">
        <v>600604.19999999995</v>
      </c>
      <c r="U28" s="1">
        <v>531569.30000000005</v>
      </c>
      <c r="V28" s="1">
        <v>1916.6780000000001</v>
      </c>
      <c r="W28" s="1">
        <v>2473.2429999999999</v>
      </c>
      <c r="X28" s="1">
        <v>1.0081</v>
      </c>
      <c r="Y28" s="1"/>
      <c r="Z28" s="1"/>
      <c r="AA28" s="1"/>
      <c r="AB28" s="1"/>
      <c r="AC28" s="1"/>
      <c r="AD28" s="1"/>
      <c r="AE28" s="1"/>
      <c r="AF28" s="1"/>
      <c r="AG28" s="1"/>
      <c r="AH28" s="1"/>
      <c r="AI28" s="1"/>
    </row>
    <row r="29" spans="2:35">
      <c r="B29" s="25"/>
      <c r="D29">
        <v>1.0920000000000001</v>
      </c>
      <c r="E29">
        <v>0</v>
      </c>
      <c r="F29">
        <v>0</v>
      </c>
      <c r="G29" s="1">
        <v>1.4180820000000001</v>
      </c>
      <c r="H29">
        <v>-6.4419999999999998E-3</v>
      </c>
      <c r="I29" s="1">
        <v>1.291E-3</v>
      </c>
      <c r="J29" s="1">
        <v>1.8181150000000001E-5</v>
      </c>
      <c r="K29" s="1">
        <v>1.506662E-3</v>
      </c>
      <c r="L29" s="1">
        <v>1.224185E-5</v>
      </c>
      <c r="M29" s="1">
        <v>18941050</v>
      </c>
      <c r="N29" s="1">
        <v>40733.050000000003</v>
      </c>
      <c r="O29" s="1">
        <v>82973.59</v>
      </c>
      <c r="P29" s="1">
        <v>309.70850000000002</v>
      </c>
      <c r="Q29" s="1">
        <v>7217.2060000000001</v>
      </c>
      <c r="R29" s="1">
        <v>-61.873649999999998</v>
      </c>
      <c r="S29" s="1">
        <v>217.53219999999999</v>
      </c>
      <c r="T29" s="1">
        <v>435174.7</v>
      </c>
      <c r="U29" s="1">
        <v>385154.6</v>
      </c>
      <c r="V29" s="1">
        <v>1332.4390000000001</v>
      </c>
      <c r="W29" s="1">
        <v>3438.1950000000002</v>
      </c>
      <c r="X29" s="1">
        <v>1.0920000000000001</v>
      </c>
      <c r="Z29" s="1"/>
      <c r="AA29" s="1"/>
      <c r="AB29" s="1"/>
      <c r="AC29" s="1"/>
      <c r="AD29" s="1"/>
      <c r="AE29" s="1"/>
      <c r="AF29" s="1"/>
      <c r="AG29" s="1"/>
      <c r="AH29" s="1"/>
      <c r="AI29" s="1"/>
    </row>
    <row r="30" spans="2:35">
      <c r="B30" s="25"/>
      <c r="C30">
        <v>13</v>
      </c>
      <c r="D30">
        <v>1.0920000000000001</v>
      </c>
      <c r="E30">
        <v>0</v>
      </c>
      <c r="F30">
        <v>0</v>
      </c>
      <c r="G30" s="1">
        <v>1.4180820000000001</v>
      </c>
      <c r="H30" s="1">
        <v>-6.4419999999999998E-3</v>
      </c>
      <c r="I30" s="1">
        <v>1.291E-3</v>
      </c>
      <c r="J30" s="1">
        <v>1.8181150000000001E-5</v>
      </c>
      <c r="K30" s="1">
        <v>1.506662E-3</v>
      </c>
      <c r="L30" s="1">
        <v>1.224185E-5</v>
      </c>
      <c r="M30" s="1">
        <v>18941050</v>
      </c>
      <c r="N30" s="1">
        <v>40733.050000000003</v>
      </c>
      <c r="O30" s="1">
        <v>82973.59</v>
      </c>
      <c r="P30" s="1">
        <v>309.70850000000002</v>
      </c>
      <c r="Q30" s="1">
        <v>7217.2060000000001</v>
      </c>
      <c r="R30" s="1">
        <v>-61.873649999999998</v>
      </c>
      <c r="S30" s="1">
        <v>217.53219999999999</v>
      </c>
      <c r="T30" s="1">
        <v>435174.7</v>
      </c>
      <c r="U30" s="1">
        <v>385154.6</v>
      </c>
      <c r="V30" s="1">
        <v>1332.4390000000001</v>
      </c>
      <c r="W30" s="1">
        <v>3438.1950000000002</v>
      </c>
      <c r="X30" s="1">
        <v>1.0920000000000001</v>
      </c>
      <c r="Y30" s="1"/>
      <c r="Z30" s="1"/>
      <c r="AA30" s="1"/>
      <c r="AB30" s="1"/>
      <c r="AC30" s="1"/>
      <c r="AD30" s="1"/>
      <c r="AE30" s="1"/>
      <c r="AF30" s="1"/>
      <c r="AG30" s="1"/>
      <c r="AH30" s="1"/>
      <c r="AI30" s="1"/>
    </row>
    <row r="31" spans="2:35">
      <c r="B31" s="25"/>
      <c r="D31">
        <v>1.1758999999999999</v>
      </c>
      <c r="E31">
        <v>0</v>
      </c>
      <c r="F31">
        <v>0</v>
      </c>
      <c r="G31" s="1">
        <v>1.2236320000000001</v>
      </c>
      <c r="H31">
        <v>2.3E-5</v>
      </c>
      <c r="I31" s="1">
        <v>1.418E-3</v>
      </c>
      <c r="J31" s="1">
        <v>1.8204780000000001E-5</v>
      </c>
      <c r="K31" s="1">
        <v>1.3407919999999999E-3</v>
      </c>
      <c r="L31" s="1">
        <v>-1.5399310000000001E-5</v>
      </c>
      <c r="M31" s="1">
        <v>18894430</v>
      </c>
      <c r="N31" s="1">
        <v>41709.800000000003</v>
      </c>
      <c r="O31" s="1">
        <v>84486.94</v>
      </c>
      <c r="P31" s="1">
        <v>305.73849999999999</v>
      </c>
      <c r="Q31" s="1">
        <v>7207.9080000000004</v>
      </c>
      <c r="R31" s="1">
        <v>-149.298</v>
      </c>
      <c r="S31" s="1">
        <v>214.96360000000001</v>
      </c>
      <c r="T31" s="1">
        <v>426455.9</v>
      </c>
      <c r="U31" s="1">
        <v>377438</v>
      </c>
      <c r="V31" s="1">
        <v>1361.894</v>
      </c>
      <c r="W31" s="1">
        <v>3489.7930000000001</v>
      </c>
      <c r="X31" s="1">
        <v>1.1758999999999999</v>
      </c>
      <c r="Y31" s="1"/>
      <c r="Z31" s="1"/>
      <c r="AA31" s="1"/>
      <c r="AB31" s="1"/>
      <c r="AC31" s="1"/>
      <c r="AD31" s="1"/>
      <c r="AE31" s="1"/>
      <c r="AF31" s="1"/>
      <c r="AG31" s="1"/>
      <c r="AH31" s="1"/>
      <c r="AI31" s="1"/>
    </row>
    <row r="32" spans="2:35">
      <c r="B32" s="25"/>
      <c r="C32">
        <v>14</v>
      </c>
      <c r="D32">
        <v>1.1758999999999999</v>
      </c>
      <c r="E32">
        <v>0</v>
      </c>
      <c r="F32">
        <v>0</v>
      </c>
      <c r="G32" s="1">
        <v>1.2236320000000001</v>
      </c>
      <c r="H32" s="1">
        <v>2.3E-5</v>
      </c>
      <c r="I32" s="1">
        <v>1.418E-3</v>
      </c>
      <c r="J32" s="1">
        <v>1.8204780000000001E-5</v>
      </c>
      <c r="K32" s="1">
        <v>1.3407919999999999E-3</v>
      </c>
      <c r="L32" s="1">
        <v>-1.5399310000000001E-5</v>
      </c>
      <c r="M32" s="1">
        <v>18894430</v>
      </c>
      <c r="N32" s="1">
        <v>41709.800000000003</v>
      </c>
      <c r="O32" s="1">
        <v>84486.94</v>
      </c>
      <c r="P32" s="1">
        <v>305.73849999999999</v>
      </c>
      <c r="Q32" s="1">
        <v>7207.9080000000004</v>
      </c>
      <c r="R32" s="1">
        <v>-149.298</v>
      </c>
      <c r="S32" s="1">
        <v>214.96360000000001</v>
      </c>
      <c r="T32" s="1">
        <v>426455.9</v>
      </c>
      <c r="U32" s="1">
        <v>377438</v>
      </c>
      <c r="V32" s="1">
        <v>1361.894</v>
      </c>
      <c r="W32" s="1">
        <v>3489.7930000000001</v>
      </c>
      <c r="X32" s="1">
        <v>1.1758999999999999</v>
      </c>
      <c r="Y32" s="1"/>
      <c r="Z32" s="1"/>
      <c r="AA32" s="1"/>
      <c r="AB32" s="1"/>
      <c r="AC32" s="1"/>
      <c r="AD32" s="1"/>
      <c r="AE32" s="1"/>
      <c r="AF32" s="1"/>
      <c r="AG32" s="1"/>
      <c r="AH32" s="1"/>
      <c r="AI32" s="1"/>
    </row>
    <row r="33" spans="2:35">
      <c r="B33" s="25"/>
      <c r="D33">
        <v>1.2613000000000001</v>
      </c>
      <c r="E33">
        <v>0</v>
      </c>
      <c r="F33">
        <v>0</v>
      </c>
      <c r="G33" s="1">
        <v>1.283093</v>
      </c>
      <c r="H33">
        <v>-2.5309999999999998E-3</v>
      </c>
      <c r="I33" s="1">
        <v>1.1019999999999999E-3</v>
      </c>
      <c r="J33" s="1">
        <v>1.464571E-5</v>
      </c>
      <c r="K33" s="1">
        <v>1.3537779999999999E-3</v>
      </c>
      <c r="L33" s="1">
        <v>-2.4025040000000001E-5</v>
      </c>
      <c r="M33" s="1">
        <v>17237190</v>
      </c>
      <c r="N33" s="1">
        <v>31753.279999999999</v>
      </c>
      <c r="O33" s="1">
        <v>88919.07</v>
      </c>
      <c r="P33" s="1">
        <v>216.8306</v>
      </c>
      <c r="Q33" s="1">
        <v>6822.558</v>
      </c>
      <c r="R33" s="1">
        <v>-205.16329999999999</v>
      </c>
      <c r="S33" s="1">
        <v>159.90100000000001</v>
      </c>
      <c r="T33" s="1">
        <v>328444.79999999999</v>
      </c>
      <c r="U33" s="1">
        <v>290692.5</v>
      </c>
      <c r="V33" s="1">
        <v>882.75139999999999</v>
      </c>
      <c r="W33" s="1">
        <v>2294.5300000000002</v>
      </c>
      <c r="X33" s="1">
        <v>1.2613000000000001</v>
      </c>
      <c r="Y33" s="1"/>
      <c r="Z33" s="1"/>
      <c r="AA33" s="1"/>
      <c r="AB33" s="1"/>
      <c r="AC33" s="1"/>
      <c r="AD33" s="1"/>
      <c r="AE33" s="1"/>
      <c r="AF33" s="1"/>
      <c r="AG33" s="1"/>
      <c r="AH33" s="1"/>
      <c r="AI33" s="1"/>
    </row>
    <row r="34" spans="2:35">
      <c r="B34" s="25"/>
      <c r="C34">
        <v>15</v>
      </c>
      <c r="D34">
        <v>1.2613000000000001</v>
      </c>
      <c r="E34">
        <v>0</v>
      </c>
      <c r="F34">
        <v>0</v>
      </c>
      <c r="G34" s="1">
        <v>1.283093</v>
      </c>
      <c r="H34" s="1">
        <v>-2.5309999999999998E-3</v>
      </c>
      <c r="I34" s="1">
        <v>1.1019999999999999E-3</v>
      </c>
      <c r="J34" s="1">
        <v>1.464571E-5</v>
      </c>
      <c r="K34" s="1">
        <v>1.3537779999999999E-3</v>
      </c>
      <c r="L34" s="1">
        <v>-2.4025040000000001E-5</v>
      </c>
      <c r="M34" s="1">
        <v>17237190</v>
      </c>
      <c r="N34" s="1">
        <v>31753.279999999999</v>
      </c>
      <c r="O34" s="1">
        <v>88919.07</v>
      </c>
      <c r="P34" s="1">
        <v>216.8306</v>
      </c>
      <c r="Q34" s="1">
        <v>6822.558</v>
      </c>
      <c r="R34" s="1">
        <v>-205.16329999999999</v>
      </c>
      <c r="S34" s="1">
        <v>159.90100000000001</v>
      </c>
      <c r="T34" s="1">
        <v>328444.79999999999</v>
      </c>
      <c r="U34" s="1">
        <v>290692.5</v>
      </c>
      <c r="V34" s="1">
        <v>882.75139999999999</v>
      </c>
      <c r="W34" s="1">
        <v>2294.5300000000002</v>
      </c>
      <c r="X34" s="1">
        <v>1.2613000000000001</v>
      </c>
      <c r="Y34" s="1"/>
      <c r="Z34" s="1"/>
      <c r="AA34" s="1"/>
      <c r="AB34" s="1"/>
      <c r="AC34" s="1"/>
      <c r="AD34" s="1"/>
      <c r="AE34" s="1"/>
      <c r="AF34" s="1"/>
      <c r="AG34" s="1"/>
      <c r="AH34" s="1"/>
      <c r="AI34" s="1"/>
    </row>
    <row r="35" spans="2:35">
      <c r="B35" s="25"/>
      <c r="D35">
        <v>1.3448</v>
      </c>
      <c r="E35">
        <v>0</v>
      </c>
      <c r="F35">
        <v>0</v>
      </c>
      <c r="G35" s="1">
        <v>1.4490430000000001</v>
      </c>
      <c r="H35">
        <v>-8.1539999999999998E-3</v>
      </c>
      <c r="I35" s="1">
        <v>4.26E-4</v>
      </c>
      <c r="J35" s="1">
        <v>8.7162359999999998E-6</v>
      </c>
      <c r="K35" s="1">
        <v>1.4355220000000001E-3</v>
      </c>
      <c r="L35" s="1">
        <v>-2.9894729999999999E-5</v>
      </c>
      <c r="M35" s="1">
        <v>14052690</v>
      </c>
      <c r="N35" s="1">
        <v>15496.73</v>
      </c>
      <c r="O35" s="1">
        <v>91180.11</v>
      </c>
      <c r="P35" s="1">
        <v>93.584720000000004</v>
      </c>
      <c r="Q35" s="1">
        <v>6073.6679999999997</v>
      </c>
      <c r="R35" s="1">
        <v>-208.23140000000001</v>
      </c>
      <c r="S35" s="1">
        <v>95.116060000000004</v>
      </c>
      <c r="T35" s="1">
        <v>179764.5</v>
      </c>
      <c r="U35" s="1">
        <v>159101.9</v>
      </c>
      <c r="V35" s="1">
        <v>366.47500000000002</v>
      </c>
      <c r="W35" s="1">
        <v>1600.873</v>
      </c>
      <c r="X35" s="1">
        <v>1.3448</v>
      </c>
      <c r="Y35" s="1"/>
      <c r="Z35" s="1"/>
      <c r="AA35" s="1"/>
      <c r="AB35" s="1"/>
      <c r="AC35" s="1"/>
      <c r="AD35" s="1"/>
      <c r="AE35" s="1"/>
      <c r="AF35" s="1"/>
      <c r="AG35" s="1"/>
      <c r="AH35" s="1"/>
      <c r="AI35" s="1"/>
    </row>
    <row r="36" spans="2:35">
      <c r="B36" s="25"/>
      <c r="C36">
        <v>16</v>
      </c>
      <c r="D36">
        <v>1.3448</v>
      </c>
      <c r="E36">
        <v>0</v>
      </c>
      <c r="F36">
        <v>0</v>
      </c>
      <c r="G36" s="1">
        <v>1.4490430000000001</v>
      </c>
      <c r="H36" s="1">
        <v>-8.1539999999999998E-3</v>
      </c>
      <c r="I36" s="1">
        <v>4.26E-4</v>
      </c>
      <c r="J36" s="1">
        <v>8.7162359999999998E-6</v>
      </c>
      <c r="K36" s="1">
        <v>1.4355220000000001E-3</v>
      </c>
      <c r="L36" s="1">
        <v>-2.9894729999999999E-5</v>
      </c>
      <c r="M36" s="1">
        <v>14052690</v>
      </c>
      <c r="N36" s="1">
        <v>15496.73</v>
      </c>
      <c r="O36" s="1">
        <v>91180.11</v>
      </c>
      <c r="P36" s="1">
        <v>93.584720000000004</v>
      </c>
      <c r="Q36" s="1">
        <v>6073.6679999999997</v>
      </c>
      <c r="R36" s="1">
        <v>-208.23140000000001</v>
      </c>
      <c r="S36" s="1">
        <v>95.116060000000004</v>
      </c>
      <c r="T36" s="1">
        <v>179764.5</v>
      </c>
      <c r="U36" s="1">
        <v>159101.9</v>
      </c>
      <c r="V36" s="1">
        <v>366.47500000000002</v>
      </c>
      <c r="W36" s="1">
        <v>1600.873</v>
      </c>
      <c r="X36" s="1">
        <v>1.3448</v>
      </c>
      <c r="Y36" s="1"/>
      <c r="Z36" s="1"/>
      <c r="AA36" s="1"/>
      <c r="AB36" s="1"/>
      <c r="AC36" s="1"/>
      <c r="AD36" s="1"/>
      <c r="AE36" s="1"/>
      <c r="AF36" s="1"/>
      <c r="AG36" s="1"/>
      <c r="AH36" s="1"/>
      <c r="AI36" s="1"/>
    </row>
    <row r="37" spans="2:35">
      <c r="B37" s="25"/>
      <c r="D37">
        <v>1.4292</v>
      </c>
      <c r="E37">
        <v>0</v>
      </c>
      <c r="F37">
        <v>0</v>
      </c>
      <c r="G37" s="1">
        <v>1.265944</v>
      </c>
      <c r="H37">
        <v>-4.3059999999999999E-3</v>
      </c>
      <c r="I37" s="1">
        <v>6.9200000000000002E-4</v>
      </c>
      <c r="J37" s="1">
        <v>8.3059079999999998E-6</v>
      </c>
      <c r="K37" s="1">
        <v>1.296609E-3</v>
      </c>
      <c r="L37" s="1">
        <v>-3.4293959999999998E-5</v>
      </c>
      <c r="M37" s="1">
        <v>13833970</v>
      </c>
      <c r="N37" s="1">
        <v>15610.99</v>
      </c>
      <c r="O37" s="1">
        <v>91096.81</v>
      </c>
      <c r="P37" s="1">
        <v>92.475020000000001</v>
      </c>
      <c r="Q37" s="1">
        <v>6038.232</v>
      </c>
      <c r="R37" s="1">
        <v>-275.4846</v>
      </c>
      <c r="S37" s="1">
        <v>91.423749999999998</v>
      </c>
      <c r="T37" s="1">
        <v>170002.7</v>
      </c>
      <c r="U37" s="1">
        <v>150462.1</v>
      </c>
      <c r="V37" s="1">
        <v>356.05259999999998</v>
      </c>
      <c r="W37" s="1">
        <v>1558.4290000000001</v>
      </c>
      <c r="X37" s="1">
        <v>1.4292</v>
      </c>
      <c r="Y37" s="1"/>
      <c r="Z37" s="1"/>
      <c r="AA37" s="1"/>
      <c r="AB37" s="1"/>
      <c r="AC37" s="1"/>
      <c r="AD37" s="1"/>
      <c r="AE37" s="1"/>
      <c r="AF37" s="1"/>
      <c r="AG37" s="1"/>
      <c r="AH37" s="1"/>
      <c r="AI37" s="1"/>
    </row>
    <row r="38" spans="2:35">
      <c r="B38" s="25"/>
      <c r="C38">
        <v>17</v>
      </c>
      <c r="D38">
        <v>1.4292</v>
      </c>
      <c r="E38">
        <v>0</v>
      </c>
      <c r="F38">
        <v>0</v>
      </c>
      <c r="G38" s="1">
        <v>1.265944</v>
      </c>
      <c r="H38" s="1">
        <v>-4.3059999999999999E-3</v>
      </c>
      <c r="I38" s="1">
        <v>6.9200000000000002E-4</v>
      </c>
      <c r="J38" s="1">
        <v>8.3059079999999998E-6</v>
      </c>
      <c r="K38" s="1">
        <v>1.296609E-3</v>
      </c>
      <c r="L38" s="1">
        <v>-3.4293959999999998E-5</v>
      </c>
      <c r="M38" s="1">
        <v>13833970</v>
      </c>
      <c r="N38" s="1">
        <v>15610.99</v>
      </c>
      <c r="O38" s="1">
        <v>91096.81</v>
      </c>
      <c r="P38" s="1">
        <v>92.475020000000001</v>
      </c>
      <c r="Q38" s="1">
        <v>6038.232</v>
      </c>
      <c r="R38" s="1">
        <v>-275.4846</v>
      </c>
      <c r="S38" s="1">
        <v>91.423749999999998</v>
      </c>
      <c r="T38" s="1">
        <v>170002.7</v>
      </c>
      <c r="U38" s="1">
        <v>150462.1</v>
      </c>
      <c r="V38" s="1">
        <v>356.05259999999998</v>
      </c>
      <c r="W38" s="1">
        <v>1558.4290000000001</v>
      </c>
      <c r="X38" s="1">
        <v>1.4292</v>
      </c>
      <c r="Y38" s="1"/>
      <c r="Z38" s="1"/>
      <c r="AA38" s="1"/>
      <c r="AB38" s="1"/>
      <c r="AC38" s="1"/>
      <c r="AD38" s="1"/>
      <c r="AE38" s="1"/>
      <c r="AF38" s="1"/>
      <c r="AG38" s="1"/>
      <c r="AH38" s="1"/>
      <c r="AI38" s="1"/>
    </row>
    <row r="39" spans="2:35">
      <c r="B39" s="25"/>
      <c r="D39">
        <v>1.482</v>
      </c>
      <c r="E39">
        <v>0</v>
      </c>
      <c r="F39">
        <v>0</v>
      </c>
      <c r="G39" s="1">
        <v>1.199881</v>
      </c>
      <c r="H39">
        <v>-1.789E-3</v>
      </c>
      <c r="I39" s="1">
        <v>3.79E-4</v>
      </c>
      <c r="J39" s="1">
        <v>1.087195E-5</v>
      </c>
      <c r="K39" s="1">
        <v>1.2596949999999999E-3</v>
      </c>
      <c r="L39" s="1">
        <v>-6.6846299999999997E-5</v>
      </c>
      <c r="M39" s="1">
        <v>13878540</v>
      </c>
      <c r="N39" s="1">
        <v>16366.38</v>
      </c>
      <c r="O39" s="1">
        <v>91380.92</v>
      </c>
      <c r="P39" s="1">
        <v>97.534019999999998</v>
      </c>
      <c r="Q39" s="1">
        <v>6046.1019999999999</v>
      </c>
      <c r="R39" s="1">
        <v>-322.75439999999998</v>
      </c>
      <c r="S39" s="1">
        <v>93.386570000000006</v>
      </c>
      <c r="T39" s="1">
        <v>171737.1</v>
      </c>
      <c r="U39" s="1">
        <v>151997.20000000001</v>
      </c>
      <c r="V39" s="1">
        <v>377.8134</v>
      </c>
      <c r="W39" s="1">
        <v>1629.7149999999999</v>
      </c>
      <c r="X39" s="1">
        <v>1.482</v>
      </c>
      <c r="Y39" s="1"/>
      <c r="Z39" s="1"/>
      <c r="AA39" s="1"/>
      <c r="AB39" s="1"/>
      <c r="AC39" s="1"/>
      <c r="AD39" s="1"/>
      <c r="AE39" s="1"/>
      <c r="AF39" s="1"/>
      <c r="AG39" s="1"/>
      <c r="AH39" s="1"/>
      <c r="AI39" s="1"/>
    </row>
    <row r="40" spans="2:35">
      <c r="B40" s="25"/>
      <c r="C40">
        <v>18</v>
      </c>
      <c r="D40">
        <v>1.482</v>
      </c>
      <c r="E40">
        <v>0</v>
      </c>
      <c r="F40">
        <v>0</v>
      </c>
      <c r="G40" s="1">
        <v>1.199881</v>
      </c>
      <c r="H40" s="1">
        <v>-1.789E-3</v>
      </c>
      <c r="I40" s="1">
        <v>3.79E-4</v>
      </c>
      <c r="J40" s="1">
        <v>1.087195E-5</v>
      </c>
      <c r="K40" s="1">
        <v>1.2596949999999999E-3</v>
      </c>
      <c r="L40" s="1">
        <v>-6.6846299999999997E-5</v>
      </c>
      <c r="M40" s="1">
        <v>13878540</v>
      </c>
      <c r="N40" s="1">
        <v>16366.38</v>
      </c>
      <c r="O40" s="1">
        <v>91380.92</v>
      </c>
      <c r="P40" s="1">
        <v>97.534019999999998</v>
      </c>
      <c r="Q40" s="1">
        <v>6046.1019999999999</v>
      </c>
      <c r="R40" s="1">
        <v>-322.75439999999998</v>
      </c>
      <c r="S40" s="1">
        <v>93.386570000000006</v>
      </c>
      <c r="T40" s="1">
        <v>171737.1</v>
      </c>
      <c r="U40" s="1">
        <v>151997.20000000001</v>
      </c>
      <c r="V40" s="1">
        <v>377.8134</v>
      </c>
      <c r="W40" s="1">
        <v>1629.7149999999999</v>
      </c>
      <c r="X40" s="1">
        <v>1.482</v>
      </c>
      <c r="Y40" s="1"/>
      <c r="Z40" s="1"/>
      <c r="AA40" s="1"/>
      <c r="AB40" s="1"/>
      <c r="AC40" s="1"/>
      <c r="AD40" s="1"/>
      <c r="AE40" s="1"/>
      <c r="AF40" s="1"/>
      <c r="AG40" s="1"/>
      <c r="AH40" s="1"/>
      <c r="AI40" s="1"/>
    </row>
    <row r="41" spans="2:35">
      <c r="B41" s="25"/>
      <c r="D41">
        <v>1.5161</v>
      </c>
      <c r="E41">
        <v>0</v>
      </c>
      <c r="F41">
        <v>0</v>
      </c>
      <c r="G41" s="1">
        <v>1.0598030000000001</v>
      </c>
      <c r="H41">
        <v>3.8579999999999999E-3</v>
      </c>
      <c r="I41" s="1">
        <v>8.3500000000000002E-4</v>
      </c>
      <c r="J41" s="1">
        <v>1.1616859999999999E-5</v>
      </c>
      <c r="K41" s="1">
        <v>1.2013519999999999E-3</v>
      </c>
      <c r="L41" s="1">
        <v>-7.7742580000000002E-5</v>
      </c>
      <c r="M41" s="1">
        <v>11769110</v>
      </c>
      <c r="N41" s="1">
        <v>13838.89</v>
      </c>
      <c r="O41" s="1">
        <v>81979.33</v>
      </c>
      <c r="P41" s="1">
        <v>79.339659999999995</v>
      </c>
      <c r="Q41" s="1">
        <v>5017.3789999999999</v>
      </c>
      <c r="R41" s="1">
        <v>-296.58449999999999</v>
      </c>
      <c r="S41" s="1">
        <v>69.770009999999999</v>
      </c>
      <c r="T41" s="1">
        <v>135344.5</v>
      </c>
      <c r="U41" s="1">
        <v>119787.6</v>
      </c>
      <c r="V41" s="1">
        <v>279.37920000000003</v>
      </c>
      <c r="W41" s="1">
        <v>1054.77</v>
      </c>
      <c r="X41" s="1">
        <v>1.5161</v>
      </c>
      <c r="Y41" s="1"/>
      <c r="Z41" s="1"/>
      <c r="AA41" s="1"/>
      <c r="AB41" s="1"/>
      <c r="AC41" s="1"/>
      <c r="AD41" s="1"/>
      <c r="AE41" s="1"/>
      <c r="AF41" s="1"/>
      <c r="AG41" s="1"/>
      <c r="AH41" s="1"/>
      <c r="AI41" s="1"/>
    </row>
    <row r="42" spans="2:35">
      <c r="B42" s="25"/>
      <c r="C42">
        <v>19</v>
      </c>
      <c r="D42">
        <v>1.5161</v>
      </c>
      <c r="E42">
        <v>0</v>
      </c>
      <c r="F42">
        <v>0</v>
      </c>
      <c r="G42" s="1">
        <v>1.0598030000000001</v>
      </c>
      <c r="H42" s="1">
        <v>3.8579999999999999E-3</v>
      </c>
      <c r="I42" s="1">
        <v>8.3500000000000002E-4</v>
      </c>
      <c r="J42" s="1">
        <v>1.1616859999999999E-5</v>
      </c>
      <c r="K42" s="1">
        <v>1.2013519999999999E-3</v>
      </c>
      <c r="L42" s="1">
        <v>-7.7742580000000002E-5</v>
      </c>
      <c r="M42" s="1">
        <v>11769110</v>
      </c>
      <c r="N42" s="1">
        <v>13838.89</v>
      </c>
      <c r="O42" s="1">
        <v>81979.33</v>
      </c>
      <c r="P42" s="1">
        <v>79.339659999999995</v>
      </c>
      <c r="Q42" s="1">
        <v>5017.3789999999999</v>
      </c>
      <c r="R42" s="1">
        <v>-296.58449999999999</v>
      </c>
      <c r="S42" s="1">
        <v>69.770009999999999</v>
      </c>
      <c r="T42" s="1">
        <v>135344.5</v>
      </c>
      <c r="U42" s="1">
        <v>119787.6</v>
      </c>
      <c r="V42" s="1">
        <v>279.37920000000003</v>
      </c>
      <c r="W42" s="1">
        <v>1054.77</v>
      </c>
      <c r="X42" s="1">
        <v>1.5161</v>
      </c>
      <c r="Y42" s="1"/>
      <c r="Z42" s="1"/>
      <c r="AA42" s="1"/>
      <c r="AB42" s="1"/>
      <c r="AC42" s="1"/>
      <c r="AD42" s="1"/>
      <c r="AE42" s="1"/>
      <c r="AF42" s="1"/>
      <c r="AG42" s="1"/>
      <c r="AH42" s="1"/>
      <c r="AI42" s="1"/>
    </row>
    <row r="43" spans="2:35">
      <c r="B43" s="25"/>
      <c r="D43">
        <v>1.5490999999999999</v>
      </c>
      <c r="E43">
        <v>1.9099999999999999E-2</v>
      </c>
      <c r="F43">
        <v>0</v>
      </c>
      <c r="G43" s="1">
        <v>0.73434109999999997</v>
      </c>
      <c r="H43">
        <v>6.522E-3</v>
      </c>
      <c r="I43" s="1">
        <v>9.4200000000000002E-4</v>
      </c>
      <c r="J43" s="1">
        <v>7.4463759999999997E-6</v>
      </c>
      <c r="K43" s="1">
        <v>7.5006240000000004E-4</v>
      </c>
      <c r="L43" s="1">
        <v>-5.0786279999999997E-5</v>
      </c>
      <c r="M43" s="1">
        <v>8804003</v>
      </c>
      <c r="N43" s="1">
        <v>9810.7800000000007</v>
      </c>
      <c r="O43" s="1">
        <v>63839.26</v>
      </c>
      <c r="P43" s="1">
        <v>49.447859999999999</v>
      </c>
      <c r="Q43" s="1">
        <v>3340.9650000000001</v>
      </c>
      <c r="R43" s="1">
        <v>-212.3493</v>
      </c>
      <c r="S43" s="1">
        <v>39.401829999999997</v>
      </c>
      <c r="T43" s="1">
        <v>88508.95</v>
      </c>
      <c r="U43" s="1">
        <v>78335.509999999995</v>
      </c>
      <c r="V43" s="1">
        <v>141.98820000000001</v>
      </c>
      <c r="W43" s="1">
        <v>427.86669999999998</v>
      </c>
      <c r="X43" s="1">
        <v>1.5490999999999999</v>
      </c>
      <c r="Y43" s="1"/>
      <c r="Z43" s="1"/>
      <c r="AA43" s="1"/>
      <c r="AB43" s="1"/>
      <c r="AC43" s="1"/>
      <c r="AD43" s="1"/>
      <c r="AE43" s="1"/>
      <c r="AF43" s="1"/>
      <c r="AG43" s="1"/>
      <c r="AH43" s="1"/>
      <c r="AI43" s="1"/>
    </row>
    <row r="44" spans="2:35">
      <c r="B44" s="25"/>
      <c r="C44">
        <v>20</v>
      </c>
      <c r="D44">
        <v>1.5490999999999999</v>
      </c>
      <c r="E44">
        <v>1.9099999999999999E-2</v>
      </c>
      <c r="F44">
        <v>0</v>
      </c>
      <c r="G44" s="1">
        <v>0.73434109999999997</v>
      </c>
      <c r="H44" s="1">
        <v>6.522E-3</v>
      </c>
      <c r="I44" s="1">
        <v>9.4200000000000002E-4</v>
      </c>
      <c r="J44" s="1">
        <v>7.4463759999999997E-6</v>
      </c>
      <c r="K44" s="1">
        <v>7.5006240000000004E-4</v>
      </c>
      <c r="L44" s="1">
        <v>-5.0786279999999997E-5</v>
      </c>
      <c r="M44" s="1">
        <v>8804003</v>
      </c>
      <c r="N44" s="1">
        <v>9810.7800000000007</v>
      </c>
      <c r="O44" s="1">
        <v>63839.26</v>
      </c>
      <c r="P44" s="1">
        <v>49.447859999999999</v>
      </c>
      <c r="Q44" s="1">
        <v>3340.9650000000001</v>
      </c>
      <c r="R44" s="1">
        <v>-212.3493</v>
      </c>
      <c r="S44" s="1">
        <v>39.401829999999997</v>
      </c>
      <c r="T44" s="1">
        <v>88508.95</v>
      </c>
      <c r="U44" s="1">
        <v>78335.509999999995</v>
      </c>
      <c r="V44" s="1">
        <v>141.98820000000001</v>
      </c>
      <c r="W44" s="1">
        <v>427.86669999999998</v>
      </c>
      <c r="X44" s="1">
        <v>1.5490999999999999</v>
      </c>
      <c r="Y44" s="1"/>
      <c r="Z44" s="1"/>
      <c r="AA44" s="1"/>
      <c r="AB44" s="1"/>
      <c r="AC44" s="1"/>
      <c r="AD44" s="1"/>
      <c r="AE44" s="1"/>
      <c r="AF44" s="1"/>
      <c r="AG44" s="1"/>
      <c r="AH44" s="1"/>
      <c r="AI44" s="1"/>
    </row>
    <row r="45" spans="2:35">
      <c r="B45" s="25"/>
      <c r="D45">
        <v>1.5824</v>
      </c>
      <c r="E45">
        <v>3.8199999999999998E-2</v>
      </c>
      <c r="F45">
        <v>0</v>
      </c>
      <c r="G45" s="1">
        <v>0.40668379999999998</v>
      </c>
      <c r="H45">
        <v>9.2029999999999994E-3</v>
      </c>
      <c r="I45" s="1">
        <v>1.075E-3</v>
      </c>
      <c r="J45" s="1">
        <v>2.5345419999999999E-6</v>
      </c>
      <c r="K45" s="1">
        <v>2.8398859999999998E-4</v>
      </c>
      <c r="L45" s="1">
        <v>-1.7580989999999999E-5</v>
      </c>
      <c r="M45" s="1">
        <v>5818891</v>
      </c>
      <c r="N45" s="1">
        <v>6140.2539999999999</v>
      </c>
      <c r="O45" s="1">
        <v>43870.77</v>
      </c>
      <c r="P45" s="1">
        <v>18.85697</v>
      </c>
      <c r="Q45" s="1">
        <v>1631.37</v>
      </c>
      <c r="R45" s="1">
        <v>-113.1828</v>
      </c>
      <c r="S45" s="1">
        <v>12.69379</v>
      </c>
      <c r="T45" s="1">
        <v>41357.47</v>
      </c>
      <c r="U45" s="1">
        <v>36603.74</v>
      </c>
      <c r="V45" s="1">
        <v>46.010179999999998</v>
      </c>
      <c r="W45" s="1">
        <v>76.918719999999993</v>
      </c>
      <c r="X45" s="1">
        <v>1.5824</v>
      </c>
      <c r="Y45" s="1"/>
      <c r="Z45" s="1"/>
      <c r="AA45" s="1"/>
      <c r="AB45" s="1"/>
      <c r="AC45" s="1"/>
      <c r="AD45" s="1"/>
      <c r="AE45" s="1"/>
      <c r="AF45" s="1"/>
      <c r="AG45" s="1"/>
      <c r="AH45" s="1"/>
      <c r="AI45" s="1"/>
    </row>
    <row r="46" spans="2:35">
      <c r="B46" s="25"/>
      <c r="C46">
        <v>21</v>
      </c>
      <c r="D46">
        <v>1.5824</v>
      </c>
      <c r="E46">
        <v>3.8199999999999998E-2</v>
      </c>
      <c r="F46">
        <v>0</v>
      </c>
      <c r="G46" s="1">
        <v>0.40668379999999998</v>
      </c>
      <c r="H46" s="1">
        <v>9.2029999999999994E-3</v>
      </c>
      <c r="I46" s="1">
        <v>1.075E-3</v>
      </c>
      <c r="J46" s="1">
        <v>2.5345419999999999E-6</v>
      </c>
      <c r="K46" s="1">
        <v>2.8398859999999998E-4</v>
      </c>
      <c r="L46" s="1">
        <v>-1.7580989999999999E-5</v>
      </c>
      <c r="M46" s="1">
        <v>5818891</v>
      </c>
      <c r="N46" s="1">
        <v>6140.2539999999999</v>
      </c>
      <c r="O46" s="1">
        <v>43870.77</v>
      </c>
      <c r="P46" s="1">
        <v>18.85697</v>
      </c>
      <c r="Q46" s="1">
        <v>1631.37</v>
      </c>
      <c r="R46" s="1">
        <v>-113.1828</v>
      </c>
      <c r="S46" s="1">
        <v>12.69379</v>
      </c>
      <c r="T46" s="1">
        <v>41357.47</v>
      </c>
      <c r="U46" s="1">
        <v>36603.74</v>
      </c>
      <c r="V46" s="1">
        <v>46.010179999999998</v>
      </c>
      <c r="W46" s="1">
        <v>76.918719999999993</v>
      </c>
      <c r="X46" s="1">
        <v>1.5824</v>
      </c>
      <c r="Y46" s="1"/>
      <c r="Z46" s="1"/>
      <c r="AA46" s="1"/>
      <c r="AB46" s="1"/>
      <c r="AC46" s="1"/>
      <c r="AD46" s="1"/>
      <c r="AE46" s="1"/>
      <c r="AF46" s="1"/>
      <c r="AG46" s="1"/>
      <c r="AH46" s="1"/>
      <c r="AI46" s="1"/>
    </row>
    <row r="47" spans="2:35">
      <c r="B47" s="25"/>
      <c r="D47">
        <v>1.6002000000000001</v>
      </c>
      <c r="E47">
        <v>4.8500000000000001E-2</v>
      </c>
      <c r="F47">
        <v>0</v>
      </c>
      <c r="G47" s="1">
        <v>0.29509560000000001</v>
      </c>
      <c r="H47">
        <v>1.3975E-2</v>
      </c>
      <c r="I47" s="1">
        <v>1.2800000000000001E-3</v>
      </c>
      <c r="J47" s="1">
        <v>1.692788E-6</v>
      </c>
      <c r="K47" s="1">
        <v>1.884446E-4</v>
      </c>
      <c r="L47" s="1">
        <v>-1.262599E-5</v>
      </c>
      <c r="M47" s="1">
        <v>4239155</v>
      </c>
      <c r="N47" s="1">
        <v>4915.9250000000002</v>
      </c>
      <c r="O47" s="1">
        <v>45466.84</v>
      </c>
      <c r="P47" s="1">
        <v>12.58244</v>
      </c>
      <c r="Q47" s="1">
        <v>1231.56</v>
      </c>
      <c r="R47" s="1">
        <v>-93.645399999999995</v>
      </c>
      <c r="S47" s="1">
        <v>11.86185</v>
      </c>
      <c r="T47" s="1">
        <v>35649.440000000002</v>
      </c>
      <c r="U47" s="1">
        <v>31551.8</v>
      </c>
      <c r="V47" s="1">
        <v>55.325020000000002</v>
      </c>
      <c r="W47" s="1">
        <v>430.67450000000002</v>
      </c>
      <c r="X47" s="1">
        <v>1.6002000000000001</v>
      </c>
      <c r="Y47" s="1"/>
      <c r="Z47" s="1"/>
      <c r="AA47" s="1"/>
      <c r="AB47" s="1"/>
      <c r="AC47" s="1"/>
      <c r="AD47" s="1"/>
      <c r="AE47" s="1"/>
      <c r="AF47" s="1"/>
      <c r="AG47" s="1"/>
      <c r="AH47" s="1"/>
      <c r="AI47" s="1"/>
    </row>
    <row r="48" spans="2:35">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spans="2:36">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spans="2:36">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spans="2:36">
      <c r="B51" t="s">
        <v>272</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spans="2:36">
      <c r="B52">
        <v>0</v>
      </c>
      <c r="C52">
        <v>1</v>
      </c>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spans="2:36">
      <c r="B53">
        <v>0.14729999999999999</v>
      </c>
      <c r="C53">
        <v>2</v>
      </c>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spans="2:36">
      <c r="B54">
        <v>0.247</v>
      </c>
      <c r="C54">
        <v>3</v>
      </c>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spans="2:36">
      <c r="B55">
        <v>0.33189999999999997</v>
      </c>
      <c r="C55">
        <v>4</v>
      </c>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spans="2:36">
      <c r="B56">
        <v>0.41570000000000001</v>
      </c>
      <c r="C56">
        <v>5</v>
      </c>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spans="2:36">
      <c r="B57">
        <v>0.50129999999999997</v>
      </c>
      <c r="C57">
        <v>6</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spans="2:36">
      <c r="B58">
        <v>0.58499999999999996</v>
      </c>
      <c r="C58">
        <v>7</v>
      </c>
    </row>
    <row r="59" spans="2:36">
      <c r="B59">
        <v>0.67030000000000001</v>
      </c>
      <c r="C59">
        <v>8</v>
      </c>
    </row>
    <row r="60" spans="2:36">
      <c r="B60">
        <v>0.75419999999999998</v>
      </c>
      <c r="C60">
        <v>9</v>
      </c>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2:36">
      <c r="B61">
        <v>0.83819999999999995</v>
      </c>
      <c r="C61">
        <v>10</v>
      </c>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2:36">
      <c r="B62">
        <v>0.92320000000000002</v>
      </c>
      <c r="C62">
        <v>11</v>
      </c>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2:36">
      <c r="B63">
        <v>1.0081</v>
      </c>
      <c r="C63">
        <v>12</v>
      </c>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2:36">
      <c r="B64">
        <v>1.0920000000000001</v>
      </c>
      <c r="C64">
        <v>13</v>
      </c>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2:36">
      <c r="B65">
        <v>1.1758999999999999</v>
      </c>
      <c r="C65">
        <v>14</v>
      </c>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2:36">
      <c r="B66">
        <v>1.2613000000000001</v>
      </c>
      <c r="C66">
        <v>15</v>
      </c>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2:36">
      <c r="B67">
        <v>1.3448</v>
      </c>
      <c r="C67">
        <v>16</v>
      </c>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2:36">
      <c r="B68">
        <v>1.4292</v>
      </c>
      <c r="C68">
        <v>17</v>
      </c>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2:36">
      <c r="B69">
        <v>1.482</v>
      </c>
      <c r="C69">
        <v>18</v>
      </c>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2:36">
      <c r="B70">
        <v>1.5161</v>
      </c>
      <c r="C70">
        <v>19</v>
      </c>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2:36">
      <c r="B71">
        <v>1.5490999999999999</v>
      </c>
      <c r="C71">
        <v>20</v>
      </c>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2:36">
      <c r="B72">
        <v>1.5824</v>
      </c>
      <c r="C72">
        <v>21</v>
      </c>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2:36">
      <c r="B73">
        <v>1.6002000000000001</v>
      </c>
      <c r="C73">
        <v>22</v>
      </c>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2:36">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2:36">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2: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row>
    <row r="80" spans="2:36">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8: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row>
    <row r="82" spans="8:36">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8: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spans="8:36">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8: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spans="8:36">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8: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spans="8:36">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8: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spans="8:36">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8: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spans="8:36">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8: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spans="8:36">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8: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spans="8:36">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8: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spans="8:36">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8: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spans="8:36">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8: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spans="8:36">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8: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spans="8:36">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8: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spans="8:36">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8: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spans="8:36">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8: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spans="8:36">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8: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spans="8:36">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8: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spans="8:36">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8: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spans="8:36">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8: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spans="8:36">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8: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spans="8:36">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8: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spans="8:36">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8: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spans="8:36">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8: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spans="8:36">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8: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spans="8:36">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8: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spans="8:36">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8: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spans="8:36">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8: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spans="8:36">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8: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spans="8:36">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8: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7</vt:i4>
      </vt:variant>
    </vt:vector>
  </HeadingPairs>
  <TitlesOfParts>
    <vt:vector size="7" baseType="lpstr">
      <vt:lpstr>READ_ME</vt:lpstr>
      <vt:lpstr>NASA</vt:lpstr>
      <vt:lpstr>NASA_2_CORAL</vt:lpstr>
      <vt:lpstr>beam_frmt_noFPM</vt:lpstr>
      <vt:lpstr>EXI_beam_diff</vt:lpstr>
      <vt:lpstr>output</vt:lpstr>
      <vt:lpstr>EXI_beam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dc:creator>
  <cp:lastModifiedBy>Γεωργιος Αγγελουσης</cp:lastModifiedBy>
  <dcterms:created xsi:type="dcterms:W3CDTF">2015-06-05T18:19:34Z</dcterms:created>
  <dcterms:modified xsi:type="dcterms:W3CDTF">2026-02-24T09:24:57Z</dcterms:modified>
</cp:coreProperties>
</file>